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soac\Desktop\"/>
    </mc:Choice>
  </mc:AlternateContent>
  <xr:revisionPtr revIDLastSave="0" documentId="13_ncr:1_{643ADE88-E3FD-471A-AF5E-96444F6CABB8}" xr6:coauthVersionLast="47" xr6:coauthVersionMax="47" xr10:uidLastSave="{00000000-0000-0000-0000-000000000000}"/>
  <bookViews>
    <workbookView xWindow="-120" yWindow="-120" windowWidth="20730" windowHeight="11040" activeTab="3" xr2:uid="{00000000-000D-0000-FFFF-FFFF00000000}"/>
  </bookViews>
  <sheets>
    <sheet name="RawData" sheetId="1" r:id="rId1"/>
    <sheet name="MasterData" sheetId="6" r:id="rId2"/>
    <sheet name="LogSheet" sheetId="2" r:id="rId3"/>
    <sheet name="Pivot" sheetId="7" r:id="rId4"/>
    <sheet name="Dashboard" sheetId="3" r:id="rId5"/>
    <sheet name="Analysis Sheet" sheetId="4" r:id="rId6"/>
  </sheets>
  <definedNames>
    <definedName name="ExternalData_1" localSheetId="1" hidden="1">MasterData!$A$1:$J$56</definedName>
    <definedName name="Slicer_Grade_Level1">#N/A</definedName>
  </definedNames>
  <calcPr calcId="191029"/>
  <pivotCaches>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5E40DF-E3AA-4907-BB9E-A28C10209901}"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<sst xmlns="http://schemas.openxmlformats.org/spreadsheetml/2006/main" count="1001" uniqueCount="347">
  <si>
    <t>Learner_Reference_Number</t>
  </si>
  <si>
    <t>Student_Name</t>
  </si>
  <si>
    <t>Region</t>
  </si>
  <si>
    <t>Division</t>
  </si>
  <si>
    <t>Grade_Level</t>
  </si>
  <si>
    <t>Track_Strand</t>
  </si>
  <si>
    <t>Enrollment_Date</t>
  </si>
  <si>
    <t>Modality</t>
  </si>
  <si>
    <t>4Ps_Beneficiary</t>
  </si>
  <si>
    <t>General_Average</t>
  </si>
  <si>
    <t>158813998698</t>
  </si>
  <si>
    <t xml:space="preserve">Pineda, Dominic S.   </t>
  </si>
  <si>
    <t>Region III</t>
  </si>
  <si>
    <t>Pampanga</t>
  </si>
  <si>
    <t>Grade 7</t>
  </si>
  <si>
    <t>N/A (JHS)</t>
  </si>
  <si>
    <t>2025-06-25</t>
  </si>
  <si>
    <t>Blended</t>
  </si>
  <si>
    <t>No</t>
  </si>
  <si>
    <t>568151884472</t>
  </si>
  <si>
    <t xml:space="preserve"> VELASCO, TERESA E.</t>
  </si>
  <si>
    <t>Region IV-A</t>
  </si>
  <si>
    <t>Batangas</t>
  </si>
  <si>
    <t>grade 10</t>
  </si>
  <si>
    <t>06/27/2025</t>
  </si>
  <si>
    <t>distance learning</t>
  </si>
  <si>
    <t>880932081967</t>
  </si>
  <si>
    <t xml:space="preserve">Salazar, Mark T.   </t>
  </si>
  <si>
    <t>Calamba City</t>
  </si>
  <si>
    <t>grade 12</t>
  </si>
  <si>
    <t>GAS</t>
  </si>
  <si>
    <t>06/25/2025</t>
  </si>
  <si>
    <t>768045717847</t>
  </si>
  <si>
    <t xml:space="preserve">Perez, Christian L.   </t>
  </si>
  <si>
    <t>region iv-a</t>
  </si>
  <si>
    <t>Grade 10</t>
  </si>
  <si>
    <t>2025-06-16</t>
  </si>
  <si>
    <t>Distance Learning</t>
  </si>
  <si>
    <t>Yes</t>
  </si>
  <si>
    <t>379298416229</t>
  </si>
  <si>
    <t xml:space="preserve"> GOMEZ, JANINE S.</t>
  </si>
  <si>
    <t>NCR</t>
  </si>
  <si>
    <t>Pasig</t>
  </si>
  <si>
    <t>grade 11</t>
  </si>
  <si>
    <t>HUMSS</t>
  </si>
  <si>
    <t>06/15/2025</t>
  </si>
  <si>
    <t>992298369579</t>
  </si>
  <si>
    <t xml:space="preserve">bernardo, angelo m. </t>
  </si>
  <si>
    <t>ncr</t>
  </si>
  <si>
    <t>Caloocan</t>
  </si>
  <si>
    <t>Grade 11</t>
  </si>
  <si>
    <t>shs - tvl</t>
  </si>
  <si>
    <t>Face-to-Face</t>
  </si>
  <si>
    <t>226468616425</t>
  </si>
  <si>
    <t xml:space="preserve">Soriano, Christian S.   </t>
  </si>
  <si>
    <t>Tarlac</t>
  </si>
  <si>
    <t>Grade 12</t>
  </si>
  <si>
    <t>06/22/2025</t>
  </si>
  <si>
    <t>898319489394</t>
  </si>
  <si>
    <t xml:space="preserve"> SANTIAGO, DAVID C.</t>
  </si>
  <si>
    <t>region iii</t>
  </si>
  <si>
    <t>Bulacan</t>
  </si>
  <si>
    <t>ABM</t>
  </si>
  <si>
    <t>06/24/2025</t>
  </si>
  <si>
    <t>blended</t>
  </si>
  <si>
    <t>460013041189</t>
  </si>
  <si>
    <t xml:space="preserve">Flores, Ferdinand N.   </t>
  </si>
  <si>
    <t>Quezon</t>
  </si>
  <si>
    <t>06/28/2025</t>
  </si>
  <si>
    <t>454146590853</t>
  </si>
  <si>
    <t xml:space="preserve"> REYES, SARAH B.</t>
  </si>
  <si>
    <t>Manila</t>
  </si>
  <si>
    <t>STEM</t>
  </si>
  <si>
    <t>2025-06-21</t>
  </si>
  <si>
    <t>886423004876</t>
  </si>
  <si>
    <t xml:space="preserve">Flores, Nathaniel    </t>
  </si>
  <si>
    <t>Quezon City</t>
  </si>
  <si>
    <t>653845355778</t>
  </si>
  <si>
    <t xml:space="preserve"> BERNARDO, EFREN D.</t>
  </si>
  <si>
    <t>839490668828</t>
  </si>
  <si>
    <t xml:space="preserve">mendoza, gabriel  </t>
  </si>
  <si>
    <t>shs - abm</t>
  </si>
  <si>
    <t>06/17/2025</t>
  </si>
  <si>
    <t>FACE-TO-FACE</t>
  </si>
  <si>
    <t>828025822018</t>
  </si>
  <si>
    <t xml:space="preserve">Velasco, Manuel A.   </t>
  </si>
  <si>
    <t>Makati</t>
  </si>
  <si>
    <t>188357951117</t>
  </si>
  <si>
    <t xml:space="preserve"> ESPIRITU, RHEA P.</t>
  </si>
  <si>
    <t>TVL</t>
  </si>
  <si>
    <t>279264515474</t>
  </si>
  <si>
    <t xml:space="preserve">lopez, mark d. </t>
  </si>
  <si>
    <t>Taguig</t>
  </si>
  <si>
    <t>2025-06-20</t>
  </si>
  <si>
    <t>BLENDED</t>
  </si>
  <si>
    <t>620484259967</t>
  </si>
  <si>
    <t xml:space="preserve">Dizon, Efren    </t>
  </si>
  <si>
    <t xml:space="preserve"> Cavite </t>
  </si>
  <si>
    <t>Grade 8</t>
  </si>
  <si>
    <t>537392419689</t>
  </si>
  <si>
    <t xml:space="preserve">cruz, sarah  </t>
  </si>
  <si>
    <t>735486439061</t>
  </si>
  <si>
    <t xml:space="preserve">Beltran, Dominic M.   </t>
  </si>
  <si>
    <t xml:space="preserve"> Tarlac </t>
  </si>
  <si>
    <t>06/23/2025</t>
  </si>
  <si>
    <t>285568983298</t>
  </si>
  <si>
    <t xml:space="preserve">Dimaculangan, Carmela C.   </t>
  </si>
  <si>
    <t>grade 9</t>
  </si>
  <si>
    <t>06/19/2025</t>
  </si>
  <si>
    <t>269780438581</t>
  </si>
  <si>
    <t xml:space="preserve">Bernardo, Digna C.   </t>
  </si>
  <si>
    <t>Grade 9</t>
  </si>
  <si>
    <t>632337352866</t>
  </si>
  <si>
    <t xml:space="preserve">Pascual, Digna E.   </t>
  </si>
  <si>
    <t>Zambales</t>
  </si>
  <si>
    <t>shs - stem</t>
  </si>
  <si>
    <t>2025-06-26</t>
  </si>
  <si>
    <t>608244560787</t>
  </si>
  <si>
    <t xml:space="preserve"> MARQUEZ, CHLOE C.</t>
  </si>
  <si>
    <t>grade 7</t>
  </si>
  <si>
    <t>06/20/2025</t>
  </si>
  <si>
    <t>814401901879</t>
  </si>
  <si>
    <t xml:space="preserve">Manalo, Gabriel S.   </t>
  </si>
  <si>
    <t>2025-06-19</t>
  </si>
  <si>
    <t>524735736385</t>
  </si>
  <si>
    <t xml:space="preserve"> AQUINO, JOSEPH N.</t>
  </si>
  <si>
    <t>827611660330</t>
  </si>
  <si>
    <t xml:space="preserve">vergara, nathaniel m. </t>
  </si>
  <si>
    <t xml:space="preserve"> Bulacan </t>
  </si>
  <si>
    <t>2025-06-15</t>
  </si>
  <si>
    <t>704121430490</t>
  </si>
  <si>
    <t xml:space="preserve">Soriano, Efren    </t>
  </si>
  <si>
    <t>Laguna</t>
  </si>
  <si>
    <t>283856427105</t>
  </si>
  <si>
    <t xml:space="preserve">Domingo, Joshua N.   </t>
  </si>
  <si>
    <t>06/16/2025</t>
  </si>
  <si>
    <t>904316349992</t>
  </si>
  <si>
    <t xml:space="preserve">domingo, janine a. </t>
  </si>
  <si>
    <t>407942607911</t>
  </si>
  <si>
    <t xml:space="preserve">Flores, Angelo B.   </t>
  </si>
  <si>
    <t>463521362958</t>
  </si>
  <si>
    <t xml:space="preserve">Torres, Fidel E.   </t>
  </si>
  <si>
    <t>Rizal</t>
  </si>
  <si>
    <t>2025-06-18</t>
  </si>
  <si>
    <t>849855683068</t>
  </si>
  <si>
    <t xml:space="preserve">manalo, gloria v. </t>
  </si>
  <si>
    <t>136179581635</t>
  </si>
  <si>
    <t xml:space="preserve"> DELA CRUZ, JANINE</t>
  </si>
  <si>
    <t>shs - gas</t>
  </si>
  <si>
    <t>210761770775</t>
  </si>
  <si>
    <t xml:space="preserve"> ALCANTARA, PATRICIA H.</t>
  </si>
  <si>
    <t>Cavite</t>
  </si>
  <si>
    <t>2025-06-28</t>
  </si>
  <si>
    <t>351619945699</t>
  </si>
  <si>
    <t xml:space="preserve">Del Rosario, Janine N.   </t>
  </si>
  <si>
    <t>DISTANCE LEARNING</t>
  </si>
  <si>
    <t>441930399551</t>
  </si>
  <si>
    <t xml:space="preserve">Dizon, Manuel H.   </t>
  </si>
  <si>
    <t xml:space="preserve"> Rizal </t>
  </si>
  <si>
    <t>2025-06-27</t>
  </si>
  <si>
    <t>440330132059</t>
  </si>
  <si>
    <t xml:space="preserve">Lim, Michael    </t>
  </si>
  <si>
    <t>829601796772</t>
  </si>
  <si>
    <t xml:space="preserve">Ramos, Juan B.   </t>
  </si>
  <si>
    <t>881813785222</t>
  </si>
  <si>
    <t xml:space="preserve">cortez, nicole b. </t>
  </si>
  <si>
    <t>175442014613</t>
  </si>
  <si>
    <t xml:space="preserve"> CASTRO, TERESA A.</t>
  </si>
  <si>
    <t xml:space="preserve"> Pampanga </t>
  </si>
  <si>
    <t>760553848856</t>
  </si>
  <si>
    <t xml:space="preserve">Vergara, Michael    </t>
  </si>
  <si>
    <t>06/26/2025</t>
  </si>
  <si>
    <t>370108752623</t>
  </si>
  <si>
    <t xml:space="preserve">Villa, Ricardo E.   </t>
  </si>
  <si>
    <t>06/18/2025</t>
  </si>
  <si>
    <t>581342172334</t>
  </si>
  <si>
    <t xml:space="preserve"> MERCADO, GRACE L.</t>
  </si>
  <si>
    <t>Nueva Ecija</t>
  </si>
  <si>
    <t>108235953494</t>
  </si>
  <si>
    <t xml:space="preserve">Bernardo, Juan C.   </t>
  </si>
  <si>
    <t>2025-06-17</t>
  </si>
  <si>
    <t>917039273305</t>
  </si>
  <si>
    <t xml:space="preserve">aquino, artemio  </t>
  </si>
  <si>
    <t>403004263716</t>
  </si>
  <si>
    <t xml:space="preserve"> ALCANTARA, REYNALDO G.</t>
  </si>
  <si>
    <t>923981337027</t>
  </si>
  <si>
    <t xml:space="preserve">alcantara, lourdes b. </t>
  </si>
  <si>
    <t xml:space="preserve"> Quezon City </t>
  </si>
  <si>
    <t>shs - humss</t>
  </si>
  <si>
    <t>516768259734</t>
  </si>
  <si>
    <t xml:space="preserve">beltran, sarah  </t>
  </si>
  <si>
    <t>242204262837</t>
  </si>
  <si>
    <t xml:space="preserve">Santos, Ricardo P.   </t>
  </si>
  <si>
    <t>252695637827</t>
  </si>
  <si>
    <t xml:space="preserve">Ocampo, Fidel    </t>
  </si>
  <si>
    <t>969534327465</t>
  </si>
  <si>
    <t xml:space="preserve">Aquino, Rodrigo    </t>
  </si>
  <si>
    <t>351658509868</t>
  </si>
  <si>
    <t xml:space="preserve">pineda, maria  </t>
  </si>
  <si>
    <t>183419082386</t>
  </si>
  <si>
    <t xml:space="preserve"> GUERRERO, PATRICIA</t>
  </si>
  <si>
    <t>542468542427</t>
  </si>
  <si>
    <t xml:space="preserve">Santiago, Gloria B.   </t>
  </si>
  <si>
    <t xml:space="preserve"> Taguig </t>
  </si>
  <si>
    <t>550496570960</t>
  </si>
  <si>
    <t xml:space="preserve"> PEREZ, LIZA D.</t>
  </si>
  <si>
    <t>Pineda, Dominic S.</t>
  </si>
  <si>
    <t>Velasco, Teresa E.</t>
  </si>
  <si>
    <t>Salazar, Mark T.</t>
  </si>
  <si>
    <t>Perez, Christian L.</t>
  </si>
  <si>
    <t>Gomez, Janine S.</t>
  </si>
  <si>
    <t>Bernardo, Angelo M.</t>
  </si>
  <si>
    <t>Face-To-Face</t>
  </si>
  <si>
    <t>Soriano, Christian S.</t>
  </si>
  <si>
    <t>Santiago, David C.</t>
  </si>
  <si>
    <t>Flores, Ferdinand N.</t>
  </si>
  <si>
    <t>Reyes, Sarah B.</t>
  </si>
  <si>
    <t>Flores, Nathaniel</t>
  </si>
  <si>
    <t>Bernardo, Efren D.</t>
  </si>
  <si>
    <t>Mendoza, Gabriel</t>
  </si>
  <si>
    <t>Velasco, Manuel A.</t>
  </si>
  <si>
    <t>Espiritu, Rhea P.</t>
  </si>
  <si>
    <t>Lopez, Mark D.</t>
  </si>
  <si>
    <t>Dizon, Efren</t>
  </si>
  <si>
    <t>Cruz, Sarah</t>
  </si>
  <si>
    <t>Beltran, Dominic M.</t>
  </si>
  <si>
    <t>Dimaculangan, Carmela C.</t>
  </si>
  <si>
    <t>Bernardo, Digna C.</t>
  </si>
  <si>
    <t>Pascual, Digna E.</t>
  </si>
  <si>
    <t>Marquez, Chloe C.</t>
  </si>
  <si>
    <t>Manalo, Gabriel S.</t>
  </si>
  <si>
    <t>Aquino, Joseph N.</t>
  </si>
  <si>
    <t>Vergara, Nathaniel M.</t>
  </si>
  <si>
    <t>Soriano, Efren</t>
  </si>
  <si>
    <t>Domingo, Joshua N.</t>
  </si>
  <si>
    <t>Domingo, Janine A.</t>
  </si>
  <si>
    <t>Flores, Angelo B.</t>
  </si>
  <si>
    <t>Torres, Fidel E.</t>
  </si>
  <si>
    <t>Manalo, Gloria V.</t>
  </si>
  <si>
    <t>Dela Cruz, Janine</t>
  </si>
  <si>
    <t>Alcantara, Patricia H.</t>
  </si>
  <si>
    <t>Del Rosario, Janine N.</t>
  </si>
  <si>
    <t>Dizon, Manuel H.</t>
  </si>
  <si>
    <t>Lim, Michael</t>
  </si>
  <si>
    <t>Ramos, Juan B.</t>
  </si>
  <si>
    <t>Cortez, Nicole B.</t>
  </si>
  <si>
    <t>Castro, Teresa A.</t>
  </si>
  <si>
    <t>Vergara, Michael</t>
  </si>
  <si>
    <t>Villa, Ricardo E.</t>
  </si>
  <si>
    <t>Mercado, Grace L.</t>
  </si>
  <si>
    <t>Bernardo, Juan C.</t>
  </si>
  <si>
    <t>Aquino, Artemio</t>
  </si>
  <si>
    <t>Alcantara, Reynaldo G.</t>
  </si>
  <si>
    <t>Alcantara, Lourdes B.</t>
  </si>
  <si>
    <t>Beltran, Sarah</t>
  </si>
  <si>
    <t>Santos, Ricardo P.</t>
  </si>
  <si>
    <t>Ocampo, Fidel</t>
  </si>
  <si>
    <t>Aquino, Rodrigo</t>
  </si>
  <si>
    <t>Pineda, Maria</t>
  </si>
  <si>
    <t>Guerrero, Patricia</t>
  </si>
  <si>
    <t>Santiago, Gloria B.</t>
  </si>
  <si>
    <t>Perez, Liza D.</t>
  </si>
  <si>
    <t>Row Labels</t>
  </si>
  <si>
    <t>Grand Total</t>
  </si>
  <si>
    <t>(All)</t>
  </si>
  <si>
    <t>Average of General_Average</t>
  </si>
  <si>
    <r>
      <rPr>
        <b/>
        <sz val="11"/>
        <color theme="1"/>
        <rFont val="Arial"/>
        <family val="2"/>
      </rPr>
      <t>1. Descriptive Analysis — What happened?</t>
    </r>
    <r>
      <rPr>
        <sz val="11"/>
        <color theme="1"/>
        <rFont val="Arial"/>
        <family val="2"/>
      </rPr>
      <t xml:space="preserve">
The dataset contains 55 learners across three regions, with Region IV-A having the largest number at 20 learners, followed by Region III with 18 and NCR with 17. Grade 12 has the most learners at 19, followed by Grade 11 with 18. Blended Learning is the most common modality, accounting for 23 learners, while Distance Learning and Face-to-Face Learning have 16 learners each. The average general average is 89.61 among 51 learners with recorded grades, ranging from 78.8 to 97.6. Enrollment dates span June 15–28, 2025, with some missing academic and beneficiary information.
</t>
    </r>
    <r>
      <rPr>
        <b/>
        <sz val="11"/>
        <color theme="1"/>
        <rFont val="Arial"/>
        <family val="2"/>
      </rPr>
      <t>2. Diagnostic Analysis — Why did it happen?</t>
    </r>
    <r>
      <rPr>
        <sz val="11"/>
        <color theme="1"/>
        <rFont val="Arial"/>
        <family val="2"/>
      </rPr>
      <t xml:space="preserve">
Region III has the highest average general average at 92.19, while Region IV-A has the lowest at 86.66. Face-to-Face Learning has the highest average score at 91.46, compared with 89.44 for Distance Learning and 88.63 for Blended Learning. Grade 11 has the highest average at 92.88, while Grade 12 averages 87.19. These differences may relate to learner characteristics, teaching methods, or educational resources, but the dataset cannot confirm the causes. Missing grades and beneficiary information also limit the completeness of the analysis.
</t>
    </r>
    <r>
      <rPr>
        <b/>
        <sz val="11"/>
        <color theme="1"/>
        <rFont val="Arial"/>
        <family val="2"/>
      </rPr>
      <t>3. Predictive Analysis — What is likely to happen?</t>
    </r>
    <r>
      <rPr>
        <sz val="11"/>
        <color theme="1"/>
        <rFont val="Arial"/>
        <family val="2"/>
      </rPr>
      <t xml:space="preserve">
The dataset can support preliminary analysis of enrollment and academic performance, but it lacks sufficient historical data for reliable forecasting. Enrollment peaked at seven learners on June 16 and June 28, 2025, although the short observation period cannot establish a long-term trend. Grade 12 and Region IV-A may warrant closer academic monitoring because their average scores are comparatively lower. Future enrollment and performance trends could be predicted more accurately using multiple years of records. Attendance, historical grades, and learner progression data would improve forecasting reliability.
</t>
    </r>
    <r>
      <rPr>
        <b/>
        <sz val="11"/>
        <color theme="1"/>
        <rFont val="Arial"/>
        <family val="2"/>
      </rPr>
      <t xml:space="preserve">4. Prescriptive Analysis — What should we do next?
</t>
    </r>
    <r>
      <rPr>
        <sz val="11"/>
        <color theme="1"/>
        <rFont val="Arial"/>
        <family val="2"/>
      </rPr>
      <t>School administrators should complete missing records and verify learner information to improve data accuracy. They should monitor Grade 12 and Region IV-A to identify learners who may need additional academic support. Learning modalities should be evaluated using academic results and other relevant factors before drawing conclusions about effectiveness. Enrollment trends should guide staffing, record processing, and resource allocation. Finally, a regular dashboard tracking enrollment, academic performance, learning modalities, regional distribution, and data quality can support evidence-based decisions.</t>
    </r>
  </si>
  <si>
    <t>Step</t>
  </si>
  <si>
    <t>Category</t>
  </si>
  <si>
    <t>Column(s)</t>
  </si>
  <si>
    <t>Cleaning action performed</t>
  </si>
  <si>
    <t>Tool / method</t>
  </si>
  <si>
    <t>Purpose</t>
  </si>
  <si>
    <t>Notes / validation</t>
  </si>
  <si>
    <t>Import &amp; query setup</t>
  </si>
  <si>
    <t>All columns</t>
  </si>
  <si>
    <t>Imported the source enrollment data into Power Query and worked on a query copy before loading the cleaned result.</t>
  </si>
  <si>
    <t>Excel &gt; Data &gt; Get Data / Power Query</t>
  </si>
  <si>
    <t>Create a repeatable transformation workflow while preserving the raw source.</t>
  </si>
  <si>
    <t>The workbook contains separate RawData and MasterData sheets.</t>
  </si>
  <si>
    <t>Text cleaning</t>
  </si>
  <si>
    <t>Text fields</t>
  </si>
  <si>
    <t>Applied Trim to remove leading and trailing spaces from text values.</t>
  </si>
  <si>
    <t>Power Query &gt; Transform &gt; Format &gt; Trim</t>
  </si>
  <si>
    <t>Prevent inconsistent values caused by extra spaces.</t>
  </si>
  <si>
    <t>Existing LogSheet records “trim”; review any remaining irregular spacing.</t>
  </si>
  <si>
    <t>Student_Name, Region, Division, Grade_Level, Modality, Track_Strand</t>
  </si>
  <si>
    <t>Standardized text casing and presentation where values were inconsistently capitalized.</t>
  </si>
  <si>
    <t>Power Query &gt; Format / Replace Values</t>
  </si>
  <si>
    <t>Make repeated categories consistent for filtering, grouping, and reporting.</t>
  </si>
  <si>
    <t>Examples visible in MasterData include consistent name casing, Grade 10/11/12 labels, and title-cased modalities.</t>
  </si>
  <si>
    <t>Duplicate handling</t>
  </si>
  <si>
    <t>Learner_Reference_Number; Student_Name</t>
  </si>
  <si>
    <t>Removed duplicate records in Power Query.</t>
  </si>
  <si>
    <t>Power Query &gt; Remove Rows &gt; Remove Duplicates</t>
  </si>
  <si>
    <t>Avoid double-counting learners in summaries and dashboard measures.</t>
  </si>
  <si>
    <t>Prior work notes report no duplicate reference numbers or student names in the cleaned 55-record set.</t>
  </si>
  <si>
    <t>Identifier format</t>
  </si>
  <si>
    <t>Standardized the learner reference number format so identifiers are consistently represented.</t>
  </si>
  <si>
    <t>Power Query data type / column formatting</t>
  </si>
  <si>
    <t>Preserve a consistent learner identifier and support reliable matching.</t>
  </si>
  <si>
    <t>Keep this field as text if leading zeros or exact digit preservation are important.</t>
  </si>
  <si>
    <t>Date standardization</t>
  </si>
  <si>
    <t>Standardized enrollment dates to a consistent date format and date data type.</t>
  </si>
  <si>
    <t>Power Query &gt; Change Type &gt; Date; format in Excel if needed</t>
  </si>
  <si>
    <t>Allow correct date sorting, filtering, grouping, and date-based analysis.</t>
  </si>
  <si>
    <t>Cleaned dates appear as 2025 dates; observed range is June 15–28, 2025.</t>
  </si>
  <si>
    <t>Category standardization</t>
  </si>
  <si>
    <t>Used Find/Replace to standardize inconsistent track/strand labels.</t>
  </si>
  <si>
    <t>Power Query &gt; Replace Values</t>
  </si>
  <si>
    <t>Ensure equivalent categories are grouped together in PivotTables and charts.</t>
  </si>
  <si>
    <t>MasterData shows TVL standardized from a variant such as “SHS - TVL”; review all strand labels for consistency.</t>
  </si>
  <si>
    <t>Standardized inconsistent learning-modality labels, including capitalization and wording.</t>
  </si>
  <si>
    <t>Power Query &gt; Replace Values / Format</t>
  </si>
  <si>
    <t>Prevent the same modality from appearing as multiple categories.</t>
  </si>
  <si>
    <t>MasterData uses labels such as Blended, Distance Learning, and Face-to-Face.</t>
  </si>
  <si>
    <t>Standardized grade-level labels (for example, “grade 10” to “Grade 10”).</t>
  </si>
  <si>
    <t>Make grade-level categories consistent in analysis.</t>
  </si>
  <si>
    <t>Check that only the intended grade labels remain.</t>
  </si>
  <si>
    <t>Data type &amp; numeric review</t>
  </si>
  <si>
    <t>Reviewed the grade field as numeric so averages and summary statistics can be calculated.</t>
  </si>
  <si>
    <t>Power Query &gt; Change Type &gt; Decimal Number</t>
  </si>
  <si>
    <t>Support valid average, minimum, maximum, and performance analysis.</t>
  </si>
  <si>
    <t>51 of 55 learners have a recorded grade; 4 values are missing. Do not replace missing grades with zero.</t>
  </si>
  <si>
    <t>Missing-value review</t>
  </si>
  <si>
    <t>Track_Strand; 4Ps_Beneficiary; General_Average</t>
  </si>
  <si>
    <t>Identified blanks / missing values for follow-up instead of assuming a value.</t>
  </si>
  <si>
    <t>Power Query filters / column quality; Excel review</t>
  </si>
  <si>
    <t>Make limitations visible and avoid inventing learner information.</t>
  </si>
  <si>
    <t>Some academic and beneficiary information is missing; verify against the official source.</t>
  </si>
  <si>
    <t>Quality validation</t>
  </si>
  <si>
    <t>Compared the cleaned table against the source and reviewed standardized categories and key fields.</t>
  </si>
  <si>
    <t>Compare RawData with MasterData; filter/sort checks</t>
  </si>
  <si>
    <t>Confirm that cleaning did not unintentionally alter learner records.</t>
  </si>
  <si>
    <t>Before final submission, verify unusual region/division combinations and any conflicting learner details.</t>
  </si>
  <si>
    <t>Analysis preparation</t>
  </si>
  <si>
    <t>Grade_Level, Region, Modality, Enrollment_Date, General_Average</t>
  </si>
  <si>
    <t>Prepared cleaned fields for PivotTable summaries and descriptive analysis.</t>
  </si>
  <si>
    <t>Excel PivotTable / summary analysis</t>
  </si>
  <si>
    <t>Summarize enrollment and academic performance consistently.</t>
  </si>
  <si>
    <t>Workbook contains a Pivot sheet and an Analysis Sheet.</t>
  </si>
  <si>
    <t>Reporting</t>
  </si>
  <si>
    <t>Cleaned dataset and summary results</t>
  </si>
  <si>
    <t>Created a dashboard/reporting workflow using the cleaned enrollment data and analysis.</t>
  </si>
  <si>
    <t>Excel dashboard / PivotTable workflow</t>
  </si>
  <si>
    <t>Present key enrollment and performance indicators clearly.</t>
  </si>
  <si>
    <t>The Dashboard sheet is present but currently appears empty in the workbook; confirm or complete dashboard visuals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</si>
</sst>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color rgb="FF000000"/>
      <name val="Segoe UI"/>
    </font>
    <font>
      <sz val="11"/>
      <color theme="1"/>
      <name val="Arial Narrow"/>
      <family val="2"/>
    </font>
    <font>
      <sz val="12"/>
      <color theme="1"/>
      <name val="Arial Narrow"/>
      <family val="2"/>
    </font>
    <font>
      <sz val="11"/>
      <color theme="1"/>
      <name val="Arial"/>
      <family val="2"/>
    </font>
    <font>
      <b/>
      <sz val="11"/>
      <color theme="1"/>
      <name val="Arial"/>
      <family val="2"/>
    </font>
    <font>
      <sz val="11"/>
      <color theme="1"/>
      <name val="Arial Narrow"/>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49" fontId="0" fillId="0" borderId="0" xfId="0" applyNumberFormat="1"/>
    <xf numFmtId="14" fontId="0" fillId="0" borderId="0" xfId="0" applyNumberFormat="1"/>
    <xf numFmtId="0" fontId="3" fillId="0" borderId="0" xfId="0" applyFont="1" applyAlignment="1">
      <alignment horizontal="center"/>
    </xf>
    <xf numFmtId="0" fontId="3" fillId="0" borderId="0" xfId="0" applyNumberFormat="1" applyFont="1" applyAlignment="1">
      <alignment horizontal="center"/>
    </xf>
    <xf numFmtId="14" fontId="3" fillId="0" borderId="0" xfId="0" applyNumberFormat="1" applyFont="1" applyAlignment="1">
      <alignment horizontal="center"/>
    </xf>
    <xf numFmtId="164" fontId="3" fillId="0" borderId="0" xfId="0" applyNumberFormat="1" applyFont="1" applyAlignment="1">
      <alignment horizontal="center"/>
    </xf>
    <xf numFmtId="164" fontId="0" fillId="0" borderId="0" xfId="0" applyNumberFormat="1"/>
    <xf numFmtId="0" fontId="2" fillId="0" borderId="0" xfId="0" applyFont="1"/>
    <xf numFmtId="1" fontId="3" fillId="0" borderId="0" xfId="0" applyNumberFormat="1" applyFont="1" applyAlignment="1">
      <alignment horizontal="center"/>
    </xf>
    <xf numFmtId="1" fontId="0" fillId="0" borderId="0" xfId="0" applyNumberFormat="1"/>
    <xf numFmtId="0" fontId="4" fillId="0" borderId="0" xfId="0" applyFont="1" applyAlignment="1">
      <alignment vertical="top" wrapText="1"/>
    </xf>
    <xf numFmtId="0" fontId="4" fillId="0" borderId="0" xfId="0" applyFont="1" applyAlignment="1">
      <alignment horizontal="left" vertical="center" wrapText="1"/>
    </xf>
    <xf numFmtId="0" fontId="2" fillId="0" borderId="0" xfId="0" applyFont="1" applyAlignment="1">
      <alignment horizontal="center" vertical="top" wrapText="1"/>
    </xf>
    <xf numFmtId="0" fontId="6" fillId="0" borderId="0" xfId="0" pivotButton="1" applyFont="1"/>
    <xf numFmtId="0" fontId="6" fillId="0" borderId="0" xfId="0" applyFont="1"/>
    <xf numFmtId="0" fontId="6" fillId="0" borderId="0" xfId="0" applyFont="1" applyAlignment="1">
      <alignment horizontal="left"/>
    </xf>
    <xf numFmtId="2" fontId="6" fillId="0" borderId="0" xfId="0" applyNumberFormat="1" applyFont="1"/>
    <xf numFmtId="0" fontId="6" fillId="0" borderId="0" xfId="0" applyFont="1" applyAlignment="1">
      <alignment horizontal="left" indent="1"/>
    </xf>
  </cellXfs>
  <cellStyles count="1">
    <cellStyle name="Normal" xfId="0" builtinId="0"/>
  </cellStyles>
  <dxfs count="141">
    <dxf>
      <font>
        <sz val="11"/>
      </font>
    </dxf>
    <dxf>
      <font>
        <sz val="11"/>
      </font>
    </dxf>
    <dxf>
      <font>
        <sz val="11"/>
      </font>
    </dxf>
    <dxf>
      <font>
        <sz val="11"/>
      </font>
    </dxf>
    <dxf>
      <font>
        <sz val="11"/>
      </font>
    </dxf>
    <dxf>
      <font>
        <sz val="11"/>
      </font>
    </dxf>
    <dxf>
      <font>
        <sz val="11"/>
      </font>
    </dxf>
    <dxf>
      <font>
        <sz val="11"/>
      </font>
    </dxf>
    <dxf>
      <font>
        <sz val="11"/>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numFmt numFmtId="2" formatCode="0.00"/>
    </dxf>
    <dxf>
      <numFmt numFmtId="2" formatCode="0.00"/>
    </dxf>
    <dxf>
      <font>
        <sz val="11"/>
      </font>
    </dxf>
    <dxf>
      <font>
        <sz val="11"/>
      </font>
    </dxf>
    <dxf>
      <font>
        <sz val="11"/>
      </font>
    </dxf>
    <dxf>
      <font>
        <sz val="11"/>
      </font>
    </dxf>
    <dxf>
      <font>
        <sz val="11"/>
      </font>
    </dxf>
    <dxf>
      <font>
        <sz val="11"/>
      </font>
    </dxf>
    <dxf>
      <font>
        <sz val="11"/>
      </font>
    </dxf>
    <dxf>
      <font>
        <sz val="11"/>
      </font>
    </dxf>
    <dxf>
      <font>
        <sz val="11"/>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numFmt numFmtId="2" formatCode="0.00"/>
    </dxf>
    <dxf>
      <numFmt numFmtId="2" formatCode="0.00"/>
    </dxf>
    <dxf>
      <font>
        <sz val="11"/>
      </font>
    </dxf>
    <dxf>
      <font>
        <sz val="11"/>
      </font>
    </dxf>
    <dxf>
      <font>
        <sz val="11"/>
      </font>
    </dxf>
    <dxf>
      <font>
        <sz val="11"/>
      </font>
    </dxf>
    <dxf>
      <font>
        <sz val="11"/>
      </font>
    </dxf>
    <dxf>
      <font>
        <sz val="11"/>
      </font>
    </dxf>
    <dxf>
      <font>
        <sz val="11"/>
      </font>
    </dxf>
    <dxf>
      <font>
        <sz val="11"/>
      </font>
    </dxf>
    <dxf>
      <font>
        <sz val="11"/>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numFmt numFmtId="2" formatCode="0.00"/>
    </dxf>
    <dxf>
      <numFmt numFmtId="2" formatCode="0.00"/>
    </dxf>
    <dxf>
      <font>
        <sz val="11"/>
      </font>
    </dxf>
    <dxf>
      <font>
        <sz val="11"/>
      </font>
    </dxf>
    <dxf>
      <font>
        <sz val="11"/>
      </font>
    </dxf>
    <dxf>
      <font>
        <sz val="11"/>
      </font>
    </dxf>
    <dxf>
      <font>
        <sz val="11"/>
      </font>
    </dxf>
    <dxf>
      <font>
        <sz val="11"/>
      </font>
    </dxf>
    <dxf>
      <font>
        <sz val="11"/>
      </font>
    </dxf>
    <dxf>
      <font>
        <sz val="11"/>
      </font>
    </dxf>
    <dxf>
      <font>
        <sz val="11"/>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numFmt numFmtId="2" formatCode="0.00"/>
    </dxf>
    <dxf>
      <numFmt numFmtId="2" formatCode="0.00"/>
    </dxf>
    <dxf>
      <font>
        <sz val="11"/>
      </font>
    </dxf>
    <dxf>
      <font>
        <sz val="11"/>
      </font>
    </dxf>
    <dxf>
      <font>
        <sz val="11"/>
      </font>
    </dxf>
    <dxf>
      <font>
        <sz val="11"/>
      </font>
    </dxf>
    <dxf>
      <font>
        <sz val="11"/>
      </font>
    </dxf>
    <dxf>
      <font>
        <sz val="11"/>
      </font>
    </dxf>
    <dxf>
      <font>
        <sz val="11"/>
      </font>
    </dxf>
    <dxf>
      <font>
        <sz val="11"/>
      </font>
    </dxf>
    <dxf>
      <font>
        <sz val="11"/>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numFmt numFmtId="2" formatCode="0.00"/>
    </dxf>
    <dxf>
      <numFmt numFmtId="2" formatCode="0.0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top" textRotation="0" wrapText="1" indent="0" justifyLastLine="0" shrinkToFit="0" readingOrder="0"/>
    </dxf>
    <dxf>
      <numFmt numFmtId="2" formatCode="0.00"/>
    </dxf>
    <dxf>
      <numFmt numFmtId="2" formatCode="0.00"/>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sz val="11"/>
      </font>
    </dxf>
    <dxf>
      <font>
        <sz val="11"/>
      </font>
    </dxf>
    <dxf>
      <font>
        <sz val="11"/>
      </font>
    </dxf>
    <dxf>
      <font>
        <sz val="11"/>
      </font>
    </dxf>
    <dxf>
      <font>
        <sz val="11"/>
      </font>
    </dxf>
    <dxf>
      <font>
        <sz val="11"/>
      </font>
    </dxf>
    <dxf>
      <font>
        <sz val="11"/>
      </font>
    </dxf>
    <dxf>
      <font>
        <sz val="11"/>
      </font>
    </dxf>
    <dxf>
      <font>
        <sz val="11"/>
      </font>
    </dxf>
    <dxf>
      <font>
        <strike val="0"/>
        <outline val="0"/>
        <shadow val="0"/>
        <u val="none"/>
        <vertAlign val="baseline"/>
        <sz val="12"/>
        <color theme="1"/>
        <name val="Arial Narrow"/>
        <family val="2"/>
        <scheme val="none"/>
      </font>
      <numFmt numFmtId="164" formatCode="0.0"/>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rial Narrow"/>
        <family val="2"/>
        <scheme val="none"/>
      </font>
      <numFmt numFmtId="1" formatCode="0"/>
      <alignment horizontal="center" vertical="bottom" textRotation="0" wrapText="0" indent="0" justifyLastLine="0" shrinkToFit="0" readingOrder="0"/>
    </dxf>
    <dxf>
      <font>
        <strike val="0"/>
        <outline val="0"/>
        <shadow val="0"/>
        <u val="none"/>
        <vertAlign val="baseline"/>
        <sz val="12"/>
        <color theme="1"/>
        <name val="Arial Narrow"/>
        <family val="2"/>
        <scheme val="none"/>
      </font>
      <alignment horizontal="center" vertical="bottom" textRotation="0" wrapText="0" indent="0" justifyLastLine="0" shrinkToFit="0" readingOrder="0"/>
    </dxf>
    <dxf>
      <font>
        <strike val="0"/>
        <outline val="0"/>
        <shadow val="0"/>
        <u val="none"/>
        <vertAlign val="baseline"/>
        <sz val="12"/>
        <color theme="1"/>
        <name val="Arial Narrow"/>
        <family val="2"/>
        <scheme val="none"/>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[Enrollment19102026.xlsx]Pivot!PivotTable1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Average of General</a:t>
            </a:r>
            <a:r>
              <a:rPr lang="en-US" sz="1200" baseline="0">
                <a:solidFill>
                  <a:sysClr val="windowText" lastClr="000000"/>
                </a:solidFill>
                <a:latin typeface="Arial Rounded MT Bold" panose="020F0704030504030204" pitchFamily="34" charset="0"/>
              </a:rPr>
              <a:t> Average by Modality and Region</a:t>
            </a:r>
            <a:endParaRPr lang="en-US" sz="1200">
              <a:solidFill>
                <a:sysClr val="windowText" lastClr="00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Pivot!$A$5:$A$17</c:f>
              <c:multiLvlStrCache>
                <c:ptCount val="9"/>
                <c:lvl>
                  <c:pt idx="0">
                    <c:v>NCR</c:v>
                  </c:pt>
                  <c:pt idx="1">
                    <c:v>Region III</c:v>
                  </c:pt>
                  <c:pt idx="2">
                    <c:v>Region IV-A</c:v>
                  </c:pt>
                  <c:pt idx="3">
                    <c:v>NCR</c:v>
                  </c:pt>
                  <c:pt idx="4">
                    <c:v>Region III</c:v>
                  </c:pt>
                  <c:pt idx="5">
                    <c:v>Region IV-A</c:v>
                  </c:pt>
                  <c:pt idx="6">
                    <c:v>NCR</c:v>
                  </c:pt>
                  <c:pt idx="7">
                    <c:v>Region III</c:v>
                  </c:pt>
                  <c:pt idx="8">
                    <c:v>Region IV-A</c:v>
                  </c:pt>
                </c:lvl>
                <c:lvl>
                  <c:pt idx="0">
                    <c:v>Blended</c:v>
                  </c:pt>
                  <c:pt idx="3">
                    <c:v>Distance Learning</c:v>
                  </c:pt>
                  <c:pt idx="6">
                    <c:v>Face-To-Face</c:v>
                  </c:pt>
                </c:lvl>
              </c:multiLvlStrCache>
            </c:multiLvlStrRef>
          </c:cat>
          <c:val>
            <c:numRef>
              <c:f>Pivot!$B$5:$B$17</c:f>
              <c:numCache>
                <c:formatCode>0.00</c:formatCode>
                <c:ptCount val="9"/>
                <c:pt idx="0">
                  <c:v>90.2</c:v>
                </c:pt>
                <c:pt idx="1">
                  <c:v>87</c:v>
                </c:pt>
                <c:pt idx="2">
                  <c:v>87.487499999999997</c:v>
                </c:pt>
                <c:pt idx="3">
                  <c:v>88</c:v>
                </c:pt>
                <c:pt idx="4">
                  <c:v>93.666666666666671</c:v>
                </c:pt>
                <c:pt idx="5">
                  <c:v>86.428571428571431</c:v>
                </c:pt>
                <c:pt idx="6">
                  <c:v>95.05</c:v>
                </c:pt>
                <c:pt idx="7">
                  <c:v>95.149999999999991</c:v>
                </c:pt>
                <c:pt idx="8">
                  <c:v>85.640000000000015</c:v>
                </c:pt>
              </c:numCache>
            </c:numRef>
          </c:val>
          <c:extLst>
            <c:ext xmlns:c16="http://schemas.microsoft.com/office/drawing/2014/chart" uri="{C3380CC4-5D6E-409C-BE32-E72D297353CC}">
              <c16:uniqueId val="{00000000-F7C4-4E1E-9B48-A4CC8D3AD2FE}"/>
            </c:ext>
          </c:extLst>
        </c:ser>
        <c:dLbls>
          <c:dLblPos val="outEnd"/>
          <c:showLegendKey val="0"/>
          <c:showVal val="1"/>
          <c:showCatName val="0"/>
          <c:showSerName val="0"/>
          <c:showPercent val="0"/>
          <c:showBubbleSize val="0"/>
        </c:dLbls>
        <c:gapWidth val="219"/>
        <c:overlap val="-27"/>
        <c:axId val="971002143"/>
        <c:axId val="970996735"/>
      </c:barChart>
      <c:catAx>
        <c:axId val="9710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970996735"/>
        <c:crosses val="autoZero"/>
        <c:auto val="1"/>
        <c:lblAlgn val="ctr"/>
        <c:lblOffset val="100"/>
        <c:noMultiLvlLbl val="0"/>
      </c:catAx>
      <c:valAx>
        <c:axId val="970996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97100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9</xdr:col>
      <xdr:colOff>476250</xdr:colOff>
      <xdr:row>0</xdr:row>
      <xdr:rowOff>857250</xdr:rowOff>
    </xdr:to>
    <mc:AlternateContent xmlns:mc="http://schemas.openxmlformats.org/markup-compatibility/2006">
      <mc:Choice xmlns:a14="http://schemas.microsoft.com/office/drawing/2010/main" Requires="a14">
        <xdr:graphicFrame macro="">
          <xdr:nvGraphicFramePr>
            <xdr:cNvPr id="5" name="Grade_Level">
              <a:extLst>
                <a:ext uri="{FF2B5EF4-FFF2-40B4-BE49-F238E27FC236}">
                  <a16:creationId xmlns:a16="http://schemas.microsoft.com/office/drawing/2014/main" id="{D481E79F-F1A6-4739-8F73-F123919A014F}"/>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dr:sp macro="" textlink="">
          <xdr:nvSpPr>
            <xdr:cNvPr id="0" name=""/>
            <xdr:cNvSpPr>
              <a:spLocks noTextEdit="1"/>
            </xdr:cNvSpPr>
          </xdr:nvSpPr>
          <xdr:spPr>
            <a:xfrm>
              <a:off x="0" y="1"/>
              <a:ext cx="7753350" cy="8572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71437</xdr:rowOff>
    </xdr:from>
    <xdr:to>
      <xdr:col>4</xdr:col>
      <xdr:colOff>342900</xdr:colOff>
      <xdr:row>31</xdr:row>
      <xdr:rowOff>147637</xdr:rowOff>
    </xdr:to>
    <xdr:graphicFrame macro="">
      <xdr:nvGraphicFramePr>
        <xdr:cNvPr id="7" name="Chart 6">
          <a:extLst>
            <a:ext uri="{FF2B5EF4-FFF2-40B4-BE49-F238E27FC236}">
              <a16:creationId xmlns:a16="http://schemas.microsoft.com/office/drawing/2014/main" id="{54844A73-FF78-404D-B5F8-D67F29A8C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314.368831250002" createdVersion="7" refreshedVersion="7" minRefreshableVersion="3" recordCount="55" xr:uid="{62429ED5-A3BB-485C-ACF4-AF671E6DD928}">
  <cacheSource type="worksheet">
    <worksheetSource name="Table1_2"/>
  </cacheSource>
  <cacheFields count="10">
    <cacheField name="Learner_Reference_Number" numFmtId="0">
      <sharedItems containsSemiMixedTypes="0" containsString="0" containsNumber="1" containsInteger="1" minValue="108235953494" maxValue="992298369579"/>
    </cacheField>
    <cacheField name="Student_Name" numFmtId="0">
      <sharedItems/>
    </cacheField>
    <cacheField name="Region" numFmtId="0">
      <sharedItems count="3">
        <s v="Region III"/>
        <s v="Region IV-A"/>
        <s v="NCR"/>
      </sharedItems>
    </cacheField>
    <cacheField name="Division" numFmtId="0">
      <sharedItems count="17">
        <s v="Pampanga"/>
        <s v="Batangas"/>
        <s v="Calamba City"/>
        <s v="Pasig"/>
        <s v="Caloocan"/>
        <s v="Tarlac"/>
        <s v="Bulacan"/>
        <s v="Quezon"/>
        <s v="Manila"/>
        <s v="Quezon City"/>
        <s v="Makati"/>
        <s v="Taguig"/>
        <s v="Cavite"/>
        <s v="Zambales"/>
        <s v="Laguna"/>
        <s v="Rizal"/>
        <s v="Nueva Ecija"/>
      </sharedItems>
    </cacheField>
    <cacheField name="Grade_Level" numFmtId="0">
      <sharedItems count="6">
        <s v="Grade 7"/>
        <s v="Grade 10"/>
        <s v="Grade 12"/>
        <s v="Grade 11"/>
        <s v="Grade 8"/>
        <s v="Grade 9"/>
      </sharedItems>
    </cacheField>
    <cacheField name="Track_Strand" numFmtId="0">
      <sharedItems containsBlank="1"/>
    </cacheField>
    <cacheField name="Enrollment_Date" numFmtId="14">
      <sharedItems containsSemiMixedTypes="0" containsNonDate="0" containsDate="1" containsString="0" minDate="2025-06-15T00:00:00" maxDate="2025-06-29T00:00:00"/>
    </cacheField>
    <cacheField name="Modality" numFmtId="0">
      <sharedItems count="3">
        <s v="Blended"/>
        <s v="Distance Learning"/>
        <s v="Face-To-Face"/>
      </sharedItems>
    </cacheField>
    <cacheField name="4Ps_Beneficiary" numFmtId="0">
      <sharedItems containsBlank="1"/>
    </cacheField>
    <cacheField name="General_Average" numFmtId="164">
      <sharedItems containsString="0" containsBlank="1" containsNumber="1" minValue="78.8" maxValue="97.6"/>
    </cacheField>
  </cacheFields>
  <extLst>
    <ext xmlns:x14="http://schemas.microsoft.com/office/spreadsheetml/2009/9/main" uri="{725AE2AE-9491-48be-B2B4-4EB974FC3084}">
      <x14:pivotCacheDefinition pivotCacheId="146855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n v="158813998698"/>
    <s v="Pineda, Dominic S."/>
    <x v="0"/>
    <x v="0"/>
    <x v="0"/>
    <s v="N/A (JHS)"/>
    <d v="2025-06-25T00:00:00"/>
    <x v="0"/>
    <s v="No"/>
    <m/>
  </r>
  <r>
    <n v="568151884472"/>
    <s v="Velasco, Teresa E."/>
    <x v="1"/>
    <x v="1"/>
    <x v="1"/>
    <s v="N/A (JHS)"/>
    <d v="2025-06-27T00:00:00"/>
    <x v="1"/>
    <s v="No"/>
    <n v="97.6"/>
  </r>
  <r>
    <n v="880932081967"/>
    <s v="Salazar, Mark T."/>
    <x v="1"/>
    <x v="2"/>
    <x v="2"/>
    <s v="GAS"/>
    <d v="2025-06-25T00:00:00"/>
    <x v="0"/>
    <s v="No"/>
    <n v="83.4"/>
  </r>
  <r>
    <n v="768045717847"/>
    <s v="Perez, Christian L."/>
    <x v="1"/>
    <x v="1"/>
    <x v="1"/>
    <s v="N/A (JHS)"/>
    <d v="2025-06-16T00:00:00"/>
    <x v="1"/>
    <s v="Yes"/>
    <n v="80.400000000000006"/>
  </r>
  <r>
    <n v="379298416229"/>
    <s v="Gomez, Janine S."/>
    <x v="2"/>
    <x v="3"/>
    <x v="3"/>
    <s v="HUMSS"/>
    <d v="2025-06-15T00:00:00"/>
    <x v="0"/>
    <s v="No"/>
    <n v="97"/>
  </r>
  <r>
    <n v="992298369579"/>
    <s v="Bernardo, Angelo M."/>
    <x v="2"/>
    <x v="4"/>
    <x v="3"/>
    <s v="SHS - TVL"/>
    <d v="2025-06-25T00:00:00"/>
    <x v="2"/>
    <s v="Yes"/>
    <n v="97.1"/>
  </r>
  <r>
    <n v="226468616425"/>
    <s v="Soriano, Christian S."/>
    <x v="0"/>
    <x v="5"/>
    <x v="2"/>
    <m/>
    <d v="2025-06-22T00:00:00"/>
    <x v="0"/>
    <m/>
    <n v="81.099999999999994"/>
  </r>
  <r>
    <n v="898319489394"/>
    <s v="Santiago, David C."/>
    <x v="0"/>
    <x v="6"/>
    <x v="2"/>
    <s v="ABM"/>
    <d v="2025-06-24T00:00:00"/>
    <x v="0"/>
    <s v="No"/>
    <n v="96"/>
  </r>
  <r>
    <n v="460013041189"/>
    <s v="Flores, Ferdinand N."/>
    <x v="1"/>
    <x v="7"/>
    <x v="2"/>
    <s v="SHS - TVL"/>
    <d v="2025-06-28T00:00:00"/>
    <x v="0"/>
    <s v="No"/>
    <n v="95.6"/>
  </r>
  <r>
    <n v="454146590853"/>
    <s v="Reyes, Sarah B."/>
    <x v="2"/>
    <x v="8"/>
    <x v="2"/>
    <s v="STEM"/>
    <d v="2025-06-21T00:00:00"/>
    <x v="0"/>
    <s v="Yes"/>
    <n v="92.3"/>
  </r>
  <r>
    <n v="886423004876"/>
    <s v="Flores, Nathaniel"/>
    <x v="2"/>
    <x v="9"/>
    <x v="2"/>
    <s v="HUMSS"/>
    <d v="2025-06-25T00:00:00"/>
    <x v="1"/>
    <s v="Yes"/>
    <n v="96.5"/>
  </r>
  <r>
    <n v="653845355778"/>
    <s v="Bernardo, Efren D."/>
    <x v="0"/>
    <x v="0"/>
    <x v="1"/>
    <s v="N/A (JHS)"/>
    <d v="2025-06-16T00:00:00"/>
    <x v="1"/>
    <s v="Yes"/>
    <n v="96.1"/>
  </r>
  <r>
    <n v="839490668828"/>
    <s v="Mendoza, Gabriel"/>
    <x v="1"/>
    <x v="1"/>
    <x v="3"/>
    <s v="SHS - ABM"/>
    <d v="2025-06-17T00:00:00"/>
    <x v="2"/>
    <m/>
    <n v="93.4"/>
  </r>
  <r>
    <n v="828025822018"/>
    <s v="Velasco, Manuel A."/>
    <x v="2"/>
    <x v="10"/>
    <x v="3"/>
    <s v="ABM"/>
    <d v="2025-06-28T00:00:00"/>
    <x v="0"/>
    <s v="No"/>
    <n v="96.2"/>
  </r>
  <r>
    <n v="188357951117"/>
    <s v="Espiritu, Rhea P."/>
    <x v="0"/>
    <x v="5"/>
    <x v="2"/>
    <s v="TVL"/>
    <d v="2025-06-28T00:00:00"/>
    <x v="0"/>
    <s v="No"/>
    <n v="85.6"/>
  </r>
  <r>
    <n v="279264515474"/>
    <s v="Lopez, Mark D."/>
    <x v="2"/>
    <x v="11"/>
    <x v="2"/>
    <s v="TVL"/>
    <d v="2025-06-20T00:00:00"/>
    <x v="0"/>
    <s v="Yes"/>
    <n v="79.2"/>
  </r>
  <r>
    <n v="620484259967"/>
    <s v="Dizon, Efren"/>
    <x v="1"/>
    <x v="12"/>
    <x v="4"/>
    <s v="N/A (JHS)"/>
    <d v="2025-06-24T00:00:00"/>
    <x v="2"/>
    <s v="Yes"/>
    <n v="79.900000000000006"/>
  </r>
  <r>
    <n v="537392419689"/>
    <s v="Cruz, Sarah"/>
    <x v="0"/>
    <x v="6"/>
    <x v="2"/>
    <s v="HUMSS"/>
    <d v="2025-06-22T00:00:00"/>
    <x v="0"/>
    <s v="No"/>
    <n v="85.3"/>
  </r>
  <r>
    <n v="735486439061"/>
    <s v="Beltran, Dominic M."/>
    <x v="0"/>
    <x v="5"/>
    <x v="2"/>
    <s v="TVL"/>
    <d v="2025-06-23T00:00:00"/>
    <x v="2"/>
    <s v="No"/>
    <n v="97.6"/>
  </r>
  <r>
    <n v="285568983298"/>
    <s v="Dimaculangan, Carmela C."/>
    <x v="1"/>
    <x v="7"/>
    <x v="5"/>
    <s v="N/A (JHS)"/>
    <d v="2025-06-19T00:00:00"/>
    <x v="1"/>
    <s v="No"/>
    <n v="93"/>
  </r>
  <r>
    <n v="269780438581"/>
    <s v="Bernardo, Digna C."/>
    <x v="2"/>
    <x v="4"/>
    <x v="5"/>
    <s v="N/A (JHS)"/>
    <d v="2025-06-28T00:00:00"/>
    <x v="0"/>
    <s v="Yes"/>
    <n v="79.8"/>
  </r>
  <r>
    <n v="632337352866"/>
    <s v="Pascual, Digna E."/>
    <x v="0"/>
    <x v="13"/>
    <x v="3"/>
    <s v="SHS - STEM"/>
    <d v="2025-06-26T00:00:00"/>
    <x v="2"/>
    <s v="No"/>
    <m/>
  </r>
  <r>
    <n v="608244560787"/>
    <s v="Marquez, Chloe C."/>
    <x v="2"/>
    <x v="11"/>
    <x v="0"/>
    <s v="N/A (JHS)"/>
    <d v="2025-06-20T00:00:00"/>
    <x v="1"/>
    <s v="No"/>
    <n v="88.5"/>
  </r>
  <r>
    <n v="814401901879"/>
    <s v="Manalo, Gabriel S."/>
    <x v="0"/>
    <x v="13"/>
    <x v="3"/>
    <s v="STEM"/>
    <d v="2025-06-19T00:00:00"/>
    <x v="2"/>
    <s v="Yes"/>
    <n v="92.6"/>
  </r>
  <r>
    <n v="524735736385"/>
    <s v="Aquino, Joseph N."/>
    <x v="2"/>
    <x v="8"/>
    <x v="3"/>
    <s v="SHS - TVL"/>
    <d v="2025-06-22T00:00:00"/>
    <x v="0"/>
    <s v="No"/>
    <n v="92.7"/>
  </r>
  <r>
    <n v="827611660330"/>
    <s v="Vergara, Nathaniel M."/>
    <x v="0"/>
    <x v="6"/>
    <x v="0"/>
    <s v="N/A (JHS)"/>
    <d v="2025-06-15T00:00:00"/>
    <x v="1"/>
    <m/>
    <n v="97.3"/>
  </r>
  <r>
    <n v="704121430490"/>
    <s v="Soriano, Efren"/>
    <x v="1"/>
    <x v="14"/>
    <x v="2"/>
    <s v="STEM"/>
    <d v="2025-06-16T00:00:00"/>
    <x v="2"/>
    <s v="Yes"/>
    <n v="81.400000000000006"/>
  </r>
  <r>
    <n v="283856427105"/>
    <s v="Domingo, Joshua N."/>
    <x v="2"/>
    <x v="3"/>
    <x v="3"/>
    <s v="TVL"/>
    <d v="2025-06-16T00:00:00"/>
    <x v="0"/>
    <s v="No"/>
    <n v="92.9"/>
  </r>
  <r>
    <n v="904316349992"/>
    <s v="Domingo, Janine A."/>
    <x v="1"/>
    <x v="14"/>
    <x v="1"/>
    <s v="N/A (JHS)"/>
    <d v="2025-06-23T00:00:00"/>
    <x v="0"/>
    <s v="Yes"/>
    <n v="81"/>
  </r>
  <r>
    <n v="407942607911"/>
    <s v="Flores, Angelo B."/>
    <x v="0"/>
    <x v="5"/>
    <x v="2"/>
    <s v="SHS - TVL"/>
    <d v="2025-06-20T00:00:00"/>
    <x v="2"/>
    <s v="Yes"/>
    <m/>
  </r>
  <r>
    <n v="463521362958"/>
    <s v="Torres, Fidel E."/>
    <x v="1"/>
    <x v="15"/>
    <x v="3"/>
    <s v="ABM"/>
    <d v="2025-06-18T00:00:00"/>
    <x v="0"/>
    <s v="Yes"/>
    <n v="87.9"/>
  </r>
  <r>
    <n v="849855683068"/>
    <s v="Manalo, Gloria V."/>
    <x v="2"/>
    <x v="11"/>
    <x v="3"/>
    <s v="STEM"/>
    <d v="2025-06-22T00:00:00"/>
    <x v="2"/>
    <s v="Yes"/>
    <n v="97.6"/>
  </r>
  <r>
    <n v="136179581635"/>
    <s v="Dela Cruz, Janine"/>
    <x v="0"/>
    <x v="0"/>
    <x v="3"/>
    <s v="SHS - GAS"/>
    <d v="2025-06-16T00:00:00"/>
    <x v="2"/>
    <s v="Yes"/>
    <n v="97.6"/>
  </r>
  <r>
    <n v="210761770775"/>
    <s v="Alcantara, Patricia H."/>
    <x v="1"/>
    <x v="12"/>
    <x v="0"/>
    <s v="N/A (JHS)"/>
    <d v="2025-06-28T00:00:00"/>
    <x v="1"/>
    <s v="No"/>
    <n v="80"/>
  </r>
  <r>
    <n v="351619945699"/>
    <s v="Del Rosario, Janine N."/>
    <x v="1"/>
    <x v="15"/>
    <x v="1"/>
    <s v="N/A (JHS)"/>
    <d v="2025-06-28T00:00:00"/>
    <x v="1"/>
    <s v="No"/>
    <n v="84.2"/>
  </r>
  <r>
    <n v="441930399551"/>
    <s v="Dizon, Manuel H."/>
    <x v="1"/>
    <x v="15"/>
    <x v="2"/>
    <s v="TVL"/>
    <d v="2025-06-27T00:00:00"/>
    <x v="1"/>
    <s v="No"/>
    <n v="86.3"/>
  </r>
  <r>
    <n v="440330132059"/>
    <s v="Lim, Michael"/>
    <x v="1"/>
    <x v="2"/>
    <x v="1"/>
    <s v="N/A (JHS)"/>
    <d v="2025-06-16T00:00:00"/>
    <x v="2"/>
    <s v="No"/>
    <n v="94.7"/>
  </r>
  <r>
    <n v="829601796772"/>
    <s v="Ramos, Juan B."/>
    <x v="0"/>
    <x v="0"/>
    <x v="3"/>
    <s v="ABM"/>
    <d v="2025-06-15T00:00:00"/>
    <x v="2"/>
    <s v="Yes"/>
    <m/>
  </r>
  <r>
    <n v="881813785222"/>
    <s v="Cortez, Nicole B."/>
    <x v="1"/>
    <x v="2"/>
    <x v="2"/>
    <s v="TVL"/>
    <d v="2025-06-19T00:00:00"/>
    <x v="1"/>
    <s v="No"/>
    <n v="83.5"/>
  </r>
  <r>
    <n v="175442014613"/>
    <s v="Castro, Teresa A."/>
    <x v="0"/>
    <x v="0"/>
    <x v="1"/>
    <s v="N/A (JHS)"/>
    <d v="2025-06-25T00:00:00"/>
    <x v="1"/>
    <s v="Yes"/>
    <n v="92.3"/>
  </r>
  <r>
    <n v="760553848856"/>
    <s v="Vergara, Michael"/>
    <x v="2"/>
    <x v="3"/>
    <x v="3"/>
    <s v="TVL"/>
    <d v="2025-06-26T00:00:00"/>
    <x v="0"/>
    <s v="Yes"/>
    <n v="83.6"/>
  </r>
  <r>
    <n v="370108752623"/>
    <s v="Villa, Ricardo E."/>
    <x v="0"/>
    <x v="5"/>
    <x v="1"/>
    <s v="N/A (JHS)"/>
    <d v="2025-06-18T00:00:00"/>
    <x v="1"/>
    <s v="No"/>
    <n v="92.3"/>
  </r>
  <r>
    <n v="581342172334"/>
    <s v="Mercado, Grace L."/>
    <x v="0"/>
    <x v="16"/>
    <x v="1"/>
    <s v="N/A (JHS)"/>
    <d v="2025-06-27T00:00:00"/>
    <x v="1"/>
    <s v="No"/>
    <n v="91.7"/>
  </r>
  <r>
    <n v="108235953494"/>
    <s v="Bernardo, Juan C."/>
    <x v="0"/>
    <x v="5"/>
    <x v="3"/>
    <s v="GAS"/>
    <d v="2025-06-17T00:00:00"/>
    <x v="2"/>
    <s v="No"/>
    <n v="92.8"/>
  </r>
  <r>
    <n v="917039273305"/>
    <s v="Aquino, Artemio"/>
    <x v="1"/>
    <x v="15"/>
    <x v="2"/>
    <s v="SHS - TVL"/>
    <d v="2025-06-18T00:00:00"/>
    <x v="2"/>
    <s v="Yes"/>
    <n v="78.8"/>
  </r>
  <r>
    <n v="403004263716"/>
    <s v="Alcantara, Reynaldo G."/>
    <x v="1"/>
    <x v="14"/>
    <x v="2"/>
    <s v="TVL"/>
    <d v="2025-06-27T00:00:00"/>
    <x v="0"/>
    <s v="No"/>
    <n v="81.5"/>
  </r>
  <r>
    <n v="923981337027"/>
    <s v="Alcantara, Lourdes B."/>
    <x v="2"/>
    <x v="9"/>
    <x v="3"/>
    <s v="SHS - HUMSS"/>
    <d v="2025-06-22T00:00:00"/>
    <x v="0"/>
    <s v="No"/>
    <n v="97.3"/>
  </r>
  <r>
    <n v="516768259734"/>
    <s v="Beltran, Sarah"/>
    <x v="0"/>
    <x v="0"/>
    <x v="2"/>
    <s v="SHS - TVL"/>
    <d v="2025-06-15T00:00:00"/>
    <x v="1"/>
    <s v="Yes"/>
    <n v="92.3"/>
  </r>
  <r>
    <n v="242204262837"/>
    <s v="Santos, Ricardo P."/>
    <x v="1"/>
    <x v="2"/>
    <x v="3"/>
    <s v="SHS - GAS"/>
    <d v="2025-06-15T00:00:00"/>
    <x v="0"/>
    <s v="Yes"/>
    <n v="93"/>
  </r>
  <r>
    <n v="252695637827"/>
    <s v="Ocampo, Fidel"/>
    <x v="2"/>
    <x v="4"/>
    <x v="0"/>
    <s v="N/A (JHS)"/>
    <d v="2025-06-21T00:00:00"/>
    <x v="2"/>
    <s v="Yes"/>
    <n v="93.2"/>
  </r>
  <r>
    <n v="969534327465"/>
    <s v="Aquino, Rodrigo"/>
    <x v="1"/>
    <x v="1"/>
    <x v="3"/>
    <s v="TVL"/>
    <d v="2025-06-16T00:00:00"/>
    <x v="0"/>
    <s v="Yes"/>
    <n v="83.4"/>
  </r>
  <r>
    <n v="351658509868"/>
    <s v="Pineda, Maria"/>
    <x v="2"/>
    <x v="3"/>
    <x v="3"/>
    <s v="ABM"/>
    <d v="2025-06-28T00:00:00"/>
    <x v="0"/>
    <s v="No"/>
    <n v="91"/>
  </r>
  <r>
    <n v="183419082386"/>
    <s v="Guerrero, Patricia"/>
    <x v="2"/>
    <x v="4"/>
    <x v="4"/>
    <s v="N/A (JHS)"/>
    <d v="2025-06-25T00:00:00"/>
    <x v="2"/>
    <s v="No"/>
    <n v="92.3"/>
  </r>
  <r>
    <n v="542468542427"/>
    <s v="Santiago, Gloria B."/>
    <x v="2"/>
    <x v="11"/>
    <x v="2"/>
    <s v="SHS - HUMSS"/>
    <d v="2025-06-19T00:00:00"/>
    <x v="1"/>
    <s v="Yes"/>
    <n v="79"/>
  </r>
  <r>
    <n v="550496570960"/>
    <s v="Perez, Liza D."/>
    <x v="1"/>
    <x v="15"/>
    <x v="2"/>
    <s v="SHS - GAS"/>
    <d v="2025-06-27T00:00:00"/>
    <x v="0"/>
    <s v="No"/>
    <n v="9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4D2C9-C2B2-4FE9-9801-8FAB86E99569}"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4:B17" firstHeaderRow="1" firstDataRow="1" firstDataCol="1" rowPageCount="1" colPageCount="1"/>
  <pivotFields count="10">
    <pivotField showAll="0"/>
    <pivotField showAll="0"/>
    <pivotField axis="axisRow" showAll="0">
      <items count="4">
        <item x="2"/>
        <item x="0"/>
        <item x="1"/>
        <item t="default"/>
      </items>
    </pivotField>
    <pivotField showAll="0">
      <items count="18">
        <item x="1"/>
        <item x="6"/>
        <item x="2"/>
        <item x="4"/>
        <item x="12"/>
        <item x="14"/>
        <item x="10"/>
        <item x="8"/>
        <item x="16"/>
        <item x="0"/>
        <item x="3"/>
        <item x="7"/>
        <item x="9"/>
        <item x="15"/>
        <item x="11"/>
        <item x="5"/>
        <item x="13"/>
        <item t="default"/>
      </items>
    </pivotField>
    <pivotField axis="axisPage" showAll="0">
      <items count="7">
        <item x="1"/>
        <item x="3"/>
        <item x="2"/>
        <item x="0"/>
        <item x="4"/>
        <item x="5"/>
        <item t="default"/>
      </items>
    </pivotField>
    <pivotField showAll="0"/>
    <pivotField numFmtId="14" showAll="0"/>
    <pivotField axis="axisRow" showAll="0">
      <items count="4">
        <item x="0"/>
        <item x="1"/>
        <item x="2"/>
        <item t="default"/>
      </items>
    </pivotField>
    <pivotField showAll="0"/>
    <pivotField dataField="1" showAll="0"/>
  </pivotFields>
  <rowFields count="2">
    <field x="7"/>
    <field x="2"/>
  </rowFields>
  <rowItems count="13">
    <i>
      <x/>
    </i>
    <i r="1">
      <x/>
    </i>
    <i r="1">
      <x v="1"/>
    </i>
    <i r="1">
      <x v="2"/>
    </i>
    <i>
      <x v="1"/>
    </i>
    <i r="1">
      <x/>
    </i>
    <i r="1">
      <x v="1"/>
    </i>
    <i r="1">
      <x v="2"/>
    </i>
    <i>
      <x v="2"/>
    </i>
    <i r="1">
      <x/>
    </i>
    <i r="1">
      <x v="1"/>
    </i>
    <i r="1">
      <x v="2"/>
    </i>
    <i t="grand">
      <x/>
    </i>
  </rowItems>
  <colItems count="1">
    <i/>
  </colItems>
  <pageFields count="1">
    <pageField fld="4" hier="-1"/>
  </pageFields>
  <dataFields count="1">
    <dataField name="Average of General_Average" fld="9" subtotal="average" baseField="2" baseItem="0" numFmtId="2"/>
  </dataFields>
  <formats count="20">
    <format dxfId="128">
      <pivotArea type="all" dataOnly="0" outline="0" fieldPosition="0"/>
    </format>
    <format dxfId="127">
      <pivotArea outline="0" collapsedLevelsAreSubtotals="1" fieldPosition="0"/>
    </format>
    <format dxfId="126">
      <pivotArea field="7" type="button" dataOnly="0" labelOnly="1" outline="0" axis="axisRow" fieldPosition="0"/>
    </format>
    <format dxfId="125">
      <pivotArea dataOnly="0" labelOnly="1" fieldPosition="0">
        <references count="1">
          <reference field="7" count="0"/>
        </references>
      </pivotArea>
    </format>
    <format dxfId="124">
      <pivotArea dataOnly="0" labelOnly="1" grandRow="1" outline="0" fieldPosition="0"/>
    </format>
    <format dxfId="123">
      <pivotArea dataOnly="0" labelOnly="1" fieldPosition="0">
        <references count="2">
          <reference field="2" count="0"/>
          <reference field="7" count="1" selected="0">
            <x v="0"/>
          </reference>
        </references>
      </pivotArea>
    </format>
    <format dxfId="122">
      <pivotArea dataOnly="0" labelOnly="1" fieldPosition="0">
        <references count="2">
          <reference field="2" count="0"/>
          <reference field="7" count="1" selected="0">
            <x v="1"/>
          </reference>
        </references>
      </pivotArea>
    </format>
    <format dxfId="121">
      <pivotArea dataOnly="0" labelOnly="1" fieldPosition="0">
        <references count="2">
          <reference field="2" count="0"/>
          <reference field="7" count="1" selected="0">
            <x v="2"/>
          </reference>
        </references>
      </pivotArea>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fieldPosition="0">
        <references count="2">
          <reference field="2" count="0"/>
          <reference field="7" count="1" selected="0">
            <x v="0"/>
          </reference>
        </references>
      </pivotArea>
    </format>
    <format dxfId="113">
      <pivotArea dataOnly="0" labelOnly="1" fieldPosition="0">
        <references count="2">
          <reference field="2" count="0"/>
          <reference field="7" count="1" selected="0">
            <x v="1"/>
          </reference>
        </references>
      </pivotArea>
    </format>
    <format dxfId="112">
      <pivotArea dataOnly="0" labelOnly="1" fieldPosition="0">
        <references count="2">
          <reference field="2" count="0"/>
          <reference field="7" count="1" selected="0">
            <x v="2"/>
          </reference>
        </references>
      </pivotArea>
    </format>
    <format dxfId="111">
      <pivotArea dataOnly="0" labelOnly="1" outline="0" axis="axisValues" fieldPosition="0"/>
    </format>
    <format dxfId="110">
      <pivotArea outline="0" collapsedLevelsAreSubtotals="1" fieldPosition="0"/>
    </format>
    <format dxfId="1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60A927-F2B0-4FB6-A513-594BE3619B6F}" autoFormatId="16" applyNumberFormats="0" applyBorderFormats="0" applyFontFormats="0" applyPatternFormats="0" applyAlignmentFormats="0" applyWidthHeightFormats="0">
  <queryTableRefresh nextId="11">
    <queryTableFields count="10">
      <queryTableField id="1" name="Learner_Reference_Number" tableColumnId="1"/>
      <queryTableField id="2" name="Student_Name" tableColumnId="2"/>
      <queryTableField id="3" name="Region" tableColumnId="3"/>
      <queryTableField id="4" name="Division" tableColumnId="4"/>
      <queryTableField id="5" name="Grade_Level" tableColumnId="5"/>
      <queryTableField id="6" name="Track_Strand" tableColumnId="6"/>
      <queryTableField id="7" name="Enrollment_Date" tableColumnId="7"/>
      <queryTableField id="8" name="Modality" tableColumnId="8"/>
      <queryTableField id="9" name="4Ps_Beneficiary" tableColumnId="9"/>
      <queryTableField id="10" name="General_Averag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1" xr10:uid="{EE5C6AA2-8D42-4942-87C6-B0341A0A3F40}" sourceName="Grade_Level">
  <pivotTables>
    <pivotTable tabId="7" name="PivotTable1"/>
  </pivotTables>
  <data>
    <tabular pivotCacheId="146855440">
      <items count="6">
        <i x="1" s="1"/>
        <i x="3" s="1"/>
        <i x="2"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_Level" xr10:uid="{13A98BAA-93FE-459E-A59A-EE477B11D518}" cache="Slicer_Grade_Level1" caption="Grade_Level" columnCount="6" style="SlicerStyleDark3"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84D94-0093-4E5E-ACE6-AA1F46069D10}" name="Table1_2" displayName="Table1_2" ref="A1:J56" tableType="queryTable" totalsRowShown="0" headerRowDxfId="140" dataDxfId="139">
  <autoFilter ref="A1:J56" xr:uid="{9ED84D94-0093-4E5E-ACE6-AA1F46069D10}"/>
  <tableColumns count="10">
    <tableColumn id="1" xr3:uid="{FB3B0254-6CD0-45D7-BC6D-BB21694A43AF}" uniqueName="1" name="Learner_Reference_Number" queryTableFieldId="1" dataDxfId="138"/>
    <tableColumn id="2" xr3:uid="{0A6C631D-4301-4A81-ACC2-DDCE4297DF1B}" uniqueName="2" name="Student_Name" queryTableFieldId="2" dataDxfId="137"/>
    <tableColumn id="3" xr3:uid="{4999B02A-1D79-422C-BC13-5C8E80439308}" uniqueName="3" name="Region" queryTableFieldId="3" dataDxfId="136"/>
    <tableColumn id="4" xr3:uid="{ACA499A5-0F0B-458B-89F2-8352A7723458}" uniqueName="4" name="Division" queryTableFieldId="4" dataDxfId="135"/>
    <tableColumn id="5" xr3:uid="{D7D8BD22-163D-4EBD-AA52-2E4B7368C08A}" uniqueName="5" name="Grade_Level" queryTableFieldId="5" dataDxfId="134"/>
    <tableColumn id="6" xr3:uid="{E1917DE2-7FD1-4A7D-B552-0B913A384779}" uniqueName="6" name="Track_Strand" queryTableFieldId="6" dataDxfId="133"/>
    <tableColumn id="7" xr3:uid="{0D05B6F6-DCAB-40CB-BB0F-7DFAC8BE3E6D}" uniqueName="7" name="Enrollment_Date" queryTableFieldId="7" dataDxfId="132"/>
    <tableColumn id="8" xr3:uid="{2939DF35-CF14-429D-AACC-0ABE6A951F9D}" uniqueName="8" name="Modality" queryTableFieldId="8" dataDxfId="131"/>
    <tableColumn id="9" xr3:uid="{8C4216C5-336D-4B24-B847-9B5DB37DF885}" uniqueName="9" name="4Ps_Beneficiary" queryTableFieldId="9" dataDxfId="130"/>
    <tableColumn id="10" xr3:uid="{6B69F730-E44B-429A-8D3B-AFC2D55E79BF}" uniqueName="10" name="General_Average" queryTableFieldId="10" dataDxfId="1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CDF6A-0041-4A80-9938-B1EF4E23B47C}" name="Table1" displayName="Table1" ref="A1:G15" totalsRowShown="0" headerRowDxfId="101" dataDxfId="100">
  <autoFilter ref="A1:G15" xr:uid="{9F9CDF6A-0041-4A80-9938-B1EF4E23B47C}"/>
  <tableColumns count="7">
    <tableColumn id="1" xr3:uid="{4C2E24D8-3337-40BE-8D66-CE907EF5CE3C}" name="Step" dataDxfId="108"/>
    <tableColumn id="2" xr3:uid="{A4A2FBB2-6F64-46F5-8A61-AB500B1859E9}" name="Category" dataDxfId="107"/>
    <tableColumn id="3" xr3:uid="{B3C2B8DB-1156-4E14-850D-BE0C1DC2573B}" name="Column(s)" dataDxfId="106"/>
    <tableColumn id="4" xr3:uid="{53773824-6D6B-4AC7-AB32-BFD6771E9F38}" name="Cleaning action performed" dataDxfId="105"/>
    <tableColumn id="5" xr3:uid="{F3D0F5C3-CEFC-41B6-A90A-FD260CB3956A}" name="Tool / method" dataDxfId="104"/>
    <tableColumn id="6" xr3:uid="{EF93B81E-F1AF-4A04-9D14-72E68434A40A}" name="Purpose" dataDxfId="103"/>
    <tableColumn id="8" xr3:uid="{586FB5D1-9940-4D8B-ABBB-3BC50C94ADC5}" name="Notes / validation" dataDxfId="10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opLeftCell="B13" workbookViewId="0"/>
  </sheetViews>
  <sheetFormatPr defaultRowHeight="15" x14ac:dyDescent="0.25"/>
  <cols>
    <col min="1" max="1" width="27" customWidth="1"/>
    <col min="2" max="2" width="30" customWidth="1"/>
    <col min="3" max="3" width="14" customWidth="1"/>
    <col min="4" max="4" width="16" customWidth="1"/>
    <col min="5" max="5" width="14" customWidth="1"/>
    <col min="6" max="6" width="15" customWidth="1"/>
    <col min="7" max="7" width="18" customWidth="1"/>
    <col min="8" max="8" width="20" customWidth="1"/>
    <col min="9" max="10" width="18" customWidth="1"/>
  </cols>
  <sheetData>
    <row r="1" spans="1:10" ht="24" customHeight="1" x14ac:dyDescent="0.25">
      <c r="A1" s="1" t="s">
        <v>0</v>
      </c>
      <c r="B1" s="1" t="s">
        <v>1</v>
      </c>
      <c r="C1" s="1" t="s">
        <v>2</v>
      </c>
      <c r="D1" s="1" t="s">
        <v>3</v>
      </c>
      <c r="E1" s="1" t="s">
        <v>4</v>
      </c>
      <c r="F1" s="1" t="s">
        <v>5</v>
      </c>
      <c r="G1" s="1" t="s">
        <v>6</v>
      </c>
      <c r="H1" s="1" t="s">
        <v>7</v>
      </c>
      <c r="I1" s="1" t="s">
        <v>8</v>
      </c>
      <c r="J1" s="1" t="s">
        <v>9</v>
      </c>
    </row>
    <row r="2" spans="1:10" x14ac:dyDescent="0.25">
      <c r="A2" s="2" t="s">
        <v>10</v>
      </c>
      <c r="B2" t="s">
        <v>11</v>
      </c>
      <c r="C2" t="s">
        <v>12</v>
      </c>
      <c r="D2" t="s">
        <v>13</v>
      </c>
      <c r="E2" t="s">
        <v>14</v>
      </c>
      <c r="F2" t="s">
        <v>15</v>
      </c>
      <c r="G2" t="s">
        <v>16</v>
      </c>
      <c r="H2" t="s">
        <v>17</v>
      </c>
      <c r="I2" t="s">
        <v>18</v>
      </c>
    </row>
    <row r="3" spans="1:10" x14ac:dyDescent="0.25">
      <c r="A3" s="2" t="s">
        <v>19</v>
      </c>
      <c r="B3" t="s">
        <v>20</v>
      </c>
      <c r="C3" t="s">
        <v>21</v>
      </c>
      <c r="D3" t="s">
        <v>22</v>
      </c>
      <c r="E3" t="s">
        <v>23</v>
      </c>
      <c r="F3" t="s">
        <v>15</v>
      </c>
      <c r="G3" t="s">
        <v>24</v>
      </c>
      <c r="H3" t="s">
        <v>25</v>
      </c>
      <c r="I3" t="s">
        <v>18</v>
      </c>
      <c r="J3">
        <v>97.6</v>
      </c>
    </row>
    <row r="4" spans="1:10" x14ac:dyDescent="0.25">
      <c r="A4" s="2" t="s">
        <v>26</v>
      </c>
      <c r="B4" t="s">
        <v>27</v>
      </c>
      <c r="C4" t="s">
        <v>21</v>
      </c>
      <c r="D4" t="s">
        <v>28</v>
      </c>
      <c r="E4" t="s">
        <v>29</v>
      </c>
      <c r="F4" t="s">
        <v>30</v>
      </c>
      <c r="G4" t="s">
        <v>31</v>
      </c>
      <c r="H4" t="s">
        <v>17</v>
      </c>
      <c r="I4" t="s">
        <v>18</v>
      </c>
      <c r="J4">
        <v>83.4</v>
      </c>
    </row>
    <row r="5" spans="1:10" x14ac:dyDescent="0.25">
      <c r="A5" s="2" t="s">
        <v>32</v>
      </c>
      <c r="B5" t="s">
        <v>33</v>
      </c>
      <c r="C5" t="s">
        <v>34</v>
      </c>
      <c r="D5" t="s">
        <v>22</v>
      </c>
      <c r="E5" t="s">
        <v>35</v>
      </c>
      <c r="F5" t="s">
        <v>15</v>
      </c>
      <c r="G5" t="s">
        <v>36</v>
      </c>
      <c r="H5" t="s">
        <v>37</v>
      </c>
      <c r="I5" t="s">
        <v>38</v>
      </c>
      <c r="J5">
        <v>80.400000000000006</v>
      </c>
    </row>
    <row r="6" spans="1:10" x14ac:dyDescent="0.25">
      <c r="A6" s="2" t="s">
        <v>39</v>
      </c>
      <c r="B6" t="s">
        <v>40</v>
      </c>
      <c r="C6" t="s">
        <v>41</v>
      </c>
      <c r="D6" t="s">
        <v>42</v>
      </c>
      <c r="E6" t="s">
        <v>43</v>
      </c>
      <c r="F6" t="s">
        <v>44</v>
      </c>
      <c r="G6" t="s">
        <v>45</v>
      </c>
      <c r="H6" t="s">
        <v>17</v>
      </c>
      <c r="I6" t="s">
        <v>18</v>
      </c>
      <c r="J6">
        <v>97</v>
      </c>
    </row>
    <row r="7" spans="1:10" x14ac:dyDescent="0.25">
      <c r="A7" s="2" t="s">
        <v>46</v>
      </c>
      <c r="B7" t="s">
        <v>47</v>
      </c>
      <c r="C7" t="s">
        <v>48</v>
      </c>
      <c r="D7" t="s">
        <v>49</v>
      </c>
      <c r="E7" t="s">
        <v>50</v>
      </c>
      <c r="F7" t="s">
        <v>51</v>
      </c>
      <c r="G7" t="s">
        <v>31</v>
      </c>
      <c r="H7" t="s">
        <v>52</v>
      </c>
      <c r="I7" t="s">
        <v>38</v>
      </c>
      <c r="J7">
        <v>97.1</v>
      </c>
    </row>
    <row r="8" spans="1:10" x14ac:dyDescent="0.25">
      <c r="A8" s="2" t="s">
        <v>53</v>
      </c>
      <c r="B8" t="s">
        <v>54</v>
      </c>
      <c r="C8" t="s">
        <v>12</v>
      </c>
      <c r="D8" t="s">
        <v>55</v>
      </c>
      <c r="E8" t="s">
        <v>56</v>
      </c>
      <c r="G8" t="s">
        <v>57</v>
      </c>
      <c r="H8" t="s">
        <v>17</v>
      </c>
      <c r="J8">
        <v>81.099999999999994</v>
      </c>
    </row>
    <row r="9" spans="1:10" x14ac:dyDescent="0.25">
      <c r="A9" s="2" t="s">
        <v>58</v>
      </c>
      <c r="B9" t="s">
        <v>59</v>
      </c>
      <c r="C9" t="s">
        <v>60</v>
      </c>
      <c r="D9" t="s">
        <v>61</v>
      </c>
      <c r="E9" t="s">
        <v>56</v>
      </c>
      <c r="F9" t="s">
        <v>62</v>
      </c>
      <c r="G9" t="s">
        <v>63</v>
      </c>
      <c r="H9" t="s">
        <v>64</v>
      </c>
      <c r="I9" t="s">
        <v>18</v>
      </c>
      <c r="J9">
        <v>96</v>
      </c>
    </row>
    <row r="10" spans="1:10" x14ac:dyDescent="0.25">
      <c r="A10" s="2" t="s">
        <v>65</v>
      </c>
      <c r="B10" t="s">
        <v>66</v>
      </c>
      <c r="C10" t="s">
        <v>21</v>
      </c>
      <c r="D10" t="s">
        <v>67</v>
      </c>
      <c r="E10" t="s">
        <v>29</v>
      </c>
      <c r="F10" t="s">
        <v>51</v>
      </c>
      <c r="G10" t="s">
        <v>68</v>
      </c>
      <c r="H10" t="s">
        <v>17</v>
      </c>
      <c r="I10" t="s">
        <v>18</v>
      </c>
      <c r="J10">
        <v>95.6</v>
      </c>
    </row>
    <row r="11" spans="1:10" x14ac:dyDescent="0.25">
      <c r="A11" s="2" t="s">
        <v>69</v>
      </c>
      <c r="B11" t="s">
        <v>70</v>
      </c>
      <c r="C11" t="s">
        <v>41</v>
      </c>
      <c r="D11" t="s">
        <v>71</v>
      </c>
      <c r="E11" t="s">
        <v>56</v>
      </c>
      <c r="F11" t="s">
        <v>72</v>
      </c>
      <c r="G11" t="s">
        <v>73</v>
      </c>
      <c r="H11" t="s">
        <v>17</v>
      </c>
      <c r="I11" t="s">
        <v>38</v>
      </c>
      <c r="J11">
        <v>92.3</v>
      </c>
    </row>
    <row r="12" spans="1:10" x14ac:dyDescent="0.25">
      <c r="A12" s="2" t="s">
        <v>74</v>
      </c>
      <c r="B12" t="s">
        <v>75</v>
      </c>
      <c r="C12" t="s">
        <v>41</v>
      </c>
      <c r="D12" t="s">
        <v>76</v>
      </c>
      <c r="E12" t="s">
        <v>56</v>
      </c>
      <c r="F12" t="s">
        <v>44</v>
      </c>
      <c r="G12" t="s">
        <v>31</v>
      </c>
      <c r="H12" t="s">
        <v>25</v>
      </c>
      <c r="I12" t="s">
        <v>38</v>
      </c>
      <c r="J12">
        <v>96.5</v>
      </c>
    </row>
    <row r="13" spans="1:10" x14ac:dyDescent="0.25">
      <c r="A13" s="2" t="s">
        <v>77</v>
      </c>
      <c r="B13" t="s">
        <v>78</v>
      </c>
      <c r="C13" t="s">
        <v>12</v>
      </c>
      <c r="D13" t="s">
        <v>13</v>
      </c>
      <c r="E13" t="s">
        <v>35</v>
      </c>
      <c r="F13" t="s">
        <v>15</v>
      </c>
      <c r="G13" t="s">
        <v>36</v>
      </c>
      <c r="H13" t="s">
        <v>37</v>
      </c>
      <c r="I13" t="s">
        <v>38</v>
      </c>
      <c r="J13">
        <v>96.1</v>
      </c>
    </row>
    <row r="14" spans="1:10" x14ac:dyDescent="0.25">
      <c r="A14" s="2" t="s">
        <v>79</v>
      </c>
      <c r="B14" t="s">
        <v>80</v>
      </c>
      <c r="C14" t="s">
        <v>21</v>
      </c>
      <c r="D14" t="s">
        <v>22</v>
      </c>
      <c r="E14" t="s">
        <v>50</v>
      </c>
      <c r="F14" t="s">
        <v>81</v>
      </c>
      <c r="G14" t="s">
        <v>82</v>
      </c>
      <c r="H14" t="s">
        <v>83</v>
      </c>
      <c r="J14">
        <v>93.4</v>
      </c>
    </row>
    <row r="15" spans="1:10" x14ac:dyDescent="0.25">
      <c r="A15" s="2" t="s">
        <v>84</v>
      </c>
      <c r="B15" t="s">
        <v>85</v>
      </c>
      <c r="C15" t="s">
        <v>41</v>
      </c>
      <c r="D15" t="s">
        <v>86</v>
      </c>
      <c r="E15" t="s">
        <v>50</v>
      </c>
      <c r="F15" t="s">
        <v>62</v>
      </c>
      <c r="G15" t="s">
        <v>68</v>
      </c>
      <c r="H15" t="s">
        <v>17</v>
      </c>
      <c r="I15" t="s">
        <v>18</v>
      </c>
      <c r="J15">
        <v>96.2</v>
      </c>
    </row>
    <row r="16" spans="1:10" x14ac:dyDescent="0.25">
      <c r="A16" s="2" t="s">
        <v>87</v>
      </c>
      <c r="B16" t="s">
        <v>88</v>
      </c>
      <c r="C16" t="s">
        <v>12</v>
      </c>
      <c r="D16" t="s">
        <v>55</v>
      </c>
      <c r="E16" t="s">
        <v>56</v>
      </c>
      <c r="F16" t="s">
        <v>89</v>
      </c>
      <c r="G16" t="s">
        <v>68</v>
      </c>
      <c r="H16" t="s">
        <v>17</v>
      </c>
      <c r="I16" t="s">
        <v>18</v>
      </c>
      <c r="J16">
        <v>85.6</v>
      </c>
    </row>
    <row r="17" spans="1:10" x14ac:dyDescent="0.25">
      <c r="A17" s="2" t="s">
        <v>90</v>
      </c>
      <c r="B17" t="s">
        <v>91</v>
      </c>
      <c r="C17" t="s">
        <v>41</v>
      </c>
      <c r="D17" t="s">
        <v>92</v>
      </c>
      <c r="E17" t="s">
        <v>56</v>
      </c>
      <c r="F17" t="s">
        <v>89</v>
      </c>
      <c r="G17" t="s">
        <v>93</v>
      </c>
      <c r="H17" t="s">
        <v>94</v>
      </c>
      <c r="I17" t="s">
        <v>38</v>
      </c>
      <c r="J17">
        <v>79.2</v>
      </c>
    </row>
    <row r="18" spans="1:10" x14ac:dyDescent="0.25">
      <c r="A18" s="2" t="s">
        <v>95</v>
      </c>
      <c r="B18" t="s">
        <v>96</v>
      </c>
      <c r="C18" t="s">
        <v>21</v>
      </c>
      <c r="D18" t="s">
        <v>97</v>
      </c>
      <c r="E18" t="s">
        <v>98</v>
      </c>
      <c r="F18" t="s">
        <v>15</v>
      </c>
      <c r="G18" t="s">
        <v>63</v>
      </c>
      <c r="H18" t="s">
        <v>52</v>
      </c>
      <c r="I18" t="s">
        <v>38</v>
      </c>
      <c r="J18">
        <v>79.900000000000006</v>
      </c>
    </row>
    <row r="19" spans="1:10" x14ac:dyDescent="0.25">
      <c r="A19" s="2" t="s">
        <v>99</v>
      </c>
      <c r="B19" t="s">
        <v>100</v>
      </c>
      <c r="C19" t="s">
        <v>12</v>
      </c>
      <c r="D19" t="s">
        <v>61</v>
      </c>
      <c r="E19" t="s">
        <v>56</v>
      </c>
      <c r="F19" t="s">
        <v>44</v>
      </c>
      <c r="G19" t="s">
        <v>57</v>
      </c>
      <c r="H19" t="s">
        <v>17</v>
      </c>
      <c r="I19" t="s">
        <v>18</v>
      </c>
      <c r="J19">
        <v>85.3</v>
      </c>
    </row>
    <row r="20" spans="1:10" x14ac:dyDescent="0.25">
      <c r="A20" s="2" t="s">
        <v>101</v>
      </c>
      <c r="B20" t="s">
        <v>102</v>
      </c>
      <c r="C20" t="s">
        <v>12</v>
      </c>
      <c r="D20" t="s">
        <v>103</v>
      </c>
      <c r="E20" t="s">
        <v>56</v>
      </c>
      <c r="F20" t="s">
        <v>89</v>
      </c>
      <c r="G20" t="s">
        <v>104</v>
      </c>
      <c r="H20" t="s">
        <v>52</v>
      </c>
      <c r="I20" t="s">
        <v>18</v>
      </c>
      <c r="J20">
        <v>97.6</v>
      </c>
    </row>
    <row r="21" spans="1:10" x14ac:dyDescent="0.25">
      <c r="A21" s="2" t="s">
        <v>105</v>
      </c>
      <c r="B21" t="s">
        <v>106</v>
      </c>
      <c r="C21" t="s">
        <v>21</v>
      </c>
      <c r="D21" t="s">
        <v>67</v>
      </c>
      <c r="E21" t="s">
        <v>107</v>
      </c>
      <c r="F21" t="s">
        <v>15</v>
      </c>
      <c r="G21" t="s">
        <v>108</v>
      </c>
      <c r="H21" t="s">
        <v>37</v>
      </c>
      <c r="I21" t="s">
        <v>18</v>
      </c>
      <c r="J21">
        <v>93</v>
      </c>
    </row>
    <row r="22" spans="1:10" x14ac:dyDescent="0.25">
      <c r="A22" s="2" t="s">
        <v>109</v>
      </c>
      <c r="B22" t="s">
        <v>110</v>
      </c>
      <c r="C22" t="s">
        <v>41</v>
      </c>
      <c r="D22" t="s">
        <v>49</v>
      </c>
      <c r="E22" t="s">
        <v>111</v>
      </c>
      <c r="F22" t="s">
        <v>15</v>
      </c>
      <c r="G22" t="s">
        <v>68</v>
      </c>
      <c r="H22" t="s">
        <v>17</v>
      </c>
      <c r="I22" t="s">
        <v>38</v>
      </c>
      <c r="J22">
        <v>79.8</v>
      </c>
    </row>
    <row r="23" spans="1:10" x14ac:dyDescent="0.25">
      <c r="A23" s="2" t="s">
        <v>112</v>
      </c>
      <c r="B23" t="s">
        <v>113</v>
      </c>
      <c r="C23" t="s">
        <v>12</v>
      </c>
      <c r="D23" t="s">
        <v>114</v>
      </c>
      <c r="E23" t="s">
        <v>50</v>
      </c>
      <c r="F23" t="s">
        <v>115</v>
      </c>
      <c r="G23" t="s">
        <v>116</v>
      </c>
      <c r="H23" t="s">
        <v>52</v>
      </c>
      <c r="I23" t="s">
        <v>18</v>
      </c>
    </row>
    <row r="24" spans="1:10" x14ac:dyDescent="0.25">
      <c r="A24" s="2" t="s">
        <v>117</v>
      </c>
      <c r="B24" t="s">
        <v>118</v>
      </c>
      <c r="C24" t="s">
        <v>41</v>
      </c>
      <c r="D24" t="s">
        <v>92</v>
      </c>
      <c r="E24" t="s">
        <v>119</v>
      </c>
      <c r="F24" t="s">
        <v>15</v>
      </c>
      <c r="G24" t="s">
        <v>120</v>
      </c>
      <c r="H24" t="s">
        <v>37</v>
      </c>
      <c r="I24" t="s">
        <v>18</v>
      </c>
      <c r="J24">
        <v>88.5</v>
      </c>
    </row>
    <row r="25" spans="1:10" x14ac:dyDescent="0.25">
      <c r="A25" s="2" t="s">
        <v>121</v>
      </c>
      <c r="B25" t="s">
        <v>122</v>
      </c>
      <c r="C25" t="s">
        <v>12</v>
      </c>
      <c r="D25" t="s">
        <v>114</v>
      </c>
      <c r="E25" t="s">
        <v>50</v>
      </c>
      <c r="F25" t="s">
        <v>72</v>
      </c>
      <c r="G25" t="s">
        <v>123</v>
      </c>
      <c r="H25" t="s">
        <v>52</v>
      </c>
      <c r="I25" t="s">
        <v>38</v>
      </c>
      <c r="J25">
        <v>92.6</v>
      </c>
    </row>
    <row r="26" spans="1:10" x14ac:dyDescent="0.25">
      <c r="A26" s="2" t="s">
        <v>124</v>
      </c>
      <c r="B26" t="s">
        <v>125</v>
      </c>
      <c r="C26" t="s">
        <v>41</v>
      </c>
      <c r="D26" t="s">
        <v>71</v>
      </c>
      <c r="E26" t="s">
        <v>50</v>
      </c>
      <c r="F26" t="s">
        <v>51</v>
      </c>
      <c r="G26" t="s">
        <v>57</v>
      </c>
      <c r="H26" t="s">
        <v>17</v>
      </c>
      <c r="I26" t="s">
        <v>18</v>
      </c>
      <c r="J26">
        <v>92.7</v>
      </c>
    </row>
    <row r="27" spans="1:10" x14ac:dyDescent="0.25">
      <c r="A27" s="2" t="s">
        <v>126</v>
      </c>
      <c r="B27" t="s">
        <v>127</v>
      </c>
      <c r="C27" t="s">
        <v>12</v>
      </c>
      <c r="D27" t="s">
        <v>128</v>
      </c>
      <c r="E27" t="s">
        <v>119</v>
      </c>
      <c r="F27" t="s">
        <v>15</v>
      </c>
      <c r="G27" t="s">
        <v>129</v>
      </c>
      <c r="H27" t="s">
        <v>37</v>
      </c>
      <c r="J27">
        <v>97.3</v>
      </c>
    </row>
    <row r="28" spans="1:10" x14ac:dyDescent="0.25">
      <c r="A28" s="2" t="s">
        <v>130</v>
      </c>
      <c r="B28" t="s">
        <v>131</v>
      </c>
      <c r="C28" t="s">
        <v>21</v>
      </c>
      <c r="D28" t="s">
        <v>132</v>
      </c>
      <c r="E28" t="s">
        <v>56</v>
      </c>
      <c r="F28" t="s">
        <v>72</v>
      </c>
      <c r="G28" t="s">
        <v>36</v>
      </c>
      <c r="H28" t="s">
        <v>52</v>
      </c>
      <c r="I28" t="s">
        <v>38</v>
      </c>
      <c r="J28">
        <v>81.400000000000006</v>
      </c>
    </row>
    <row r="29" spans="1:10" x14ac:dyDescent="0.25">
      <c r="A29" s="2" t="s">
        <v>133</v>
      </c>
      <c r="B29" t="s">
        <v>134</v>
      </c>
      <c r="C29" t="s">
        <v>48</v>
      </c>
      <c r="D29" t="s">
        <v>42</v>
      </c>
      <c r="E29" t="s">
        <v>50</v>
      </c>
      <c r="F29" t="s">
        <v>89</v>
      </c>
      <c r="G29" t="s">
        <v>135</v>
      </c>
      <c r="H29" t="s">
        <v>17</v>
      </c>
      <c r="I29" t="s">
        <v>18</v>
      </c>
      <c r="J29">
        <v>92.9</v>
      </c>
    </row>
    <row r="30" spans="1:10" x14ac:dyDescent="0.25">
      <c r="A30" s="2" t="s">
        <v>136</v>
      </c>
      <c r="B30" t="s">
        <v>137</v>
      </c>
      <c r="C30" t="s">
        <v>21</v>
      </c>
      <c r="D30" t="s">
        <v>132</v>
      </c>
      <c r="E30" t="s">
        <v>35</v>
      </c>
      <c r="F30" t="s">
        <v>15</v>
      </c>
      <c r="G30" t="s">
        <v>104</v>
      </c>
      <c r="H30" t="s">
        <v>17</v>
      </c>
      <c r="I30" t="s">
        <v>38</v>
      </c>
      <c r="J30">
        <v>81</v>
      </c>
    </row>
    <row r="31" spans="1:10" x14ac:dyDescent="0.25">
      <c r="A31" s="2" t="s">
        <v>138</v>
      </c>
      <c r="B31" t="s">
        <v>139</v>
      </c>
      <c r="C31" t="s">
        <v>12</v>
      </c>
      <c r="D31" t="s">
        <v>55</v>
      </c>
      <c r="E31" t="s">
        <v>56</v>
      </c>
      <c r="F31" t="s">
        <v>51</v>
      </c>
      <c r="G31" t="s">
        <v>120</v>
      </c>
      <c r="H31" t="s">
        <v>52</v>
      </c>
      <c r="I31" t="s">
        <v>38</v>
      </c>
    </row>
    <row r="32" spans="1:10" x14ac:dyDescent="0.25">
      <c r="A32" s="2" t="s">
        <v>140</v>
      </c>
      <c r="B32" t="s">
        <v>141</v>
      </c>
      <c r="C32" t="s">
        <v>21</v>
      </c>
      <c r="D32" t="s">
        <v>142</v>
      </c>
      <c r="E32" t="s">
        <v>50</v>
      </c>
      <c r="F32" t="s">
        <v>62</v>
      </c>
      <c r="G32" t="s">
        <v>143</v>
      </c>
      <c r="H32" t="s">
        <v>17</v>
      </c>
      <c r="I32" t="s">
        <v>38</v>
      </c>
      <c r="J32">
        <v>87.9</v>
      </c>
    </row>
    <row r="33" spans="1:10" x14ac:dyDescent="0.25">
      <c r="A33" s="2" t="s">
        <v>144</v>
      </c>
      <c r="B33" t="s">
        <v>145</v>
      </c>
      <c r="C33" t="s">
        <v>41</v>
      </c>
      <c r="D33" t="s">
        <v>92</v>
      </c>
      <c r="E33" t="s">
        <v>50</v>
      </c>
      <c r="F33" t="s">
        <v>72</v>
      </c>
      <c r="G33" t="s">
        <v>57</v>
      </c>
      <c r="H33" t="s">
        <v>52</v>
      </c>
      <c r="I33" t="s">
        <v>38</v>
      </c>
      <c r="J33">
        <v>97.6</v>
      </c>
    </row>
    <row r="34" spans="1:10" x14ac:dyDescent="0.25">
      <c r="A34" s="2" t="s">
        <v>146</v>
      </c>
      <c r="B34" t="s">
        <v>147</v>
      </c>
      <c r="C34" t="s">
        <v>12</v>
      </c>
      <c r="D34" t="s">
        <v>13</v>
      </c>
      <c r="E34" t="s">
        <v>50</v>
      </c>
      <c r="F34" t="s">
        <v>148</v>
      </c>
      <c r="G34" t="s">
        <v>36</v>
      </c>
      <c r="H34" t="s">
        <v>52</v>
      </c>
      <c r="I34" t="s">
        <v>38</v>
      </c>
      <c r="J34">
        <v>97.6</v>
      </c>
    </row>
    <row r="35" spans="1:10" x14ac:dyDescent="0.25">
      <c r="A35" s="2" t="s">
        <v>149</v>
      </c>
      <c r="B35" t="s">
        <v>150</v>
      </c>
      <c r="C35" t="s">
        <v>21</v>
      </c>
      <c r="D35" t="s">
        <v>151</v>
      </c>
      <c r="E35" t="s">
        <v>14</v>
      </c>
      <c r="F35" t="s">
        <v>15</v>
      </c>
      <c r="G35" t="s">
        <v>152</v>
      </c>
      <c r="H35" t="s">
        <v>37</v>
      </c>
      <c r="I35" t="s">
        <v>18</v>
      </c>
      <c r="J35">
        <v>80</v>
      </c>
    </row>
    <row r="36" spans="1:10" x14ac:dyDescent="0.25">
      <c r="A36" s="2" t="s">
        <v>153</v>
      </c>
      <c r="B36" t="s">
        <v>154</v>
      </c>
      <c r="C36" t="s">
        <v>21</v>
      </c>
      <c r="D36" t="s">
        <v>142</v>
      </c>
      <c r="E36" t="s">
        <v>35</v>
      </c>
      <c r="F36" t="s">
        <v>15</v>
      </c>
      <c r="G36" t="s">
        <v>152</v>
      </c>
      <c r="H36" t="s">
        <v>155</v>
      </c>
      <c r="I36" t="s">
        <v>18</v>
      </c>
      <c r="J36">
        <v>84.2</v>
      </c>
    </row>
    <row r="37" spans="1:10" x14ac:dyDescent="0.25">
      <c r="A37" s="2" t="s">
        <v>156</v>
      </c>
      <c r="B37" t="s">
        <v>157</v>
      </c>
      <c r="C37" t="s">
        <v>21</v>
      </c>
      <c r="D37" t="s">
        <v>158</v>
      </c>
      <c r="E37" t="s">
        <v>56</v>
      </c>
      <c r="F37" t="s">
        <v>89</v>
      </c>
      <c r="G37" t="s">
        <v>159</v>
      </c>
      <c r="H37" t="s">
        <v>37</v>
      </c>
      <c r="I37" t="s">
        <v>18</v>
      </c>
      <c r="J37">
        <v>86.3</v>
      </c>
    </row>
    <row r="38" spans="1:10" x14ac:dyDescent="0.25">
      <c r="A38" s="2" t="s">
        <v>160</v>
      </c>
      <c r="B38" t="s">
        <v>161</v>
      </c>
      <c r="C38" t="s">
        <v>21</v>
      </c>
      <c r="D38" t="s">
        <v>28</v>
      </c>
      <c r="E38" t="s">
        <v>35</v>
      </c>
      <c r="F38" t="s">
        <v>15</v>
      </c>
      <c r="G38" t="s">
        <v>135</v>
      </c>
      <c r="H38" t="s">
        <v>83</v>
      </c>
      <c r="I38" t="s">
        <v>18</v>
      </c>
      <c r="J38">
        <v>94.7</v>
      </c>
    </row>
    <row r="39" spans="1:10" x14ac:dyDescent="0.25">
      <c r="A39" s="2" t="s">
        <v>162</v>
      </c>
      <c r="B39" t="s">
        <v>163</v>
      </c>
      <c r="C39" t="s">
        <v>12</v>
      </c>
      <c r="D39" t="s">
        <v>13</v>
      </c>
      <c r="E39" t="s">
        <v>50</v>
      </c>
      <c r="F39" t="s">
        <v>62</v>
      </c>
      <c r="G39" t="s">
        <v>45</v>
      </c>
      <c r="H39" t="s">
        <v>52</v>
      </c>
      <c r="I39" t="s">
        <v>38</v>
      </c>
    </row>
    <row r="40" spans="1:10" x14ac:dyDescent="0.25">
      <c r="A40" s="2" t="s">
        <v>164</v>
      </c>
      <c r="B40" t="s">
        <v>165</v>
      </c>
      <c r="C40" t="s">
        <v>21</v>
      </c>
      <c r="D40" t="s">
        <v>28</v>
      </c>
      <c r="E40" t="s">
        <v>56</v>
      </c>
      <c r="F40" t="s">
        <v>89</v>
      </c>
      <c r="G40" t="s">
        <v>108</v>
      </c>
      <c r="H40" t="s">
        <v>37</v>
      </c>
      <c r="I40" t="s">
        <v>18</v>
      </c>
      <c r="J40">
        <v>83.5</v>
      </c>
    </row>
    <row r="41" spans="1:10" x14ac:dyDescent="0.25">
      <c r="A41" s="2" t="s">
        <v>166</v>
      </c>
      <c r="B41" t="s">
        <v>167</v>
      </c>
      <c r="C41" t="s">
        <v>12</v>
      </c>
      <c r="D41" t="s">
        <v>168</v>
      </c>
      <c r="E41" t="s">
        <v>23</v>
      </c>
      <c r="F41" t="s">
        <v>15</v>
      </c>
      <c r="G41" t="s">
        <v>16</v>
      </c>
      <c r="H41" t="s">
        <v>37</v>
      </c>
      <c r="I41" t="s">
        <v>38</v>
      </c>
      <c r="J41">
        <v>92.3</v>
      </c>
    </row>
    <row r="42" spans="1:10" x14ac:dyDescent="0.25">
      <c r="A42" s="2" t="s">
        <v>169</v>
      </c>
      <c r="B42" t="s">
        <v>170</v>
      </c>
      <c r="C42" t="s">
        <v>41</v>
      </c>
      <c r="D42" t="s">
        <v>42</v>
      </c>
      <c r="E42" t="s">
        <v>50</v>
      </c>
      <c r="F42" t="s">
        <v>89</v>
      </c>
      <c r="G42" t="s">
        <v>171</v>
      </c>
      <c r="H42" t="s">
        <v>64</v>
      </c>
      <c r="I42" t="s">
        <v>38</v>
      </c>
      <c r="J42">
        <v>83.6</v>
      </c>
    </row>
    <row r="43" spans="1:10" x14ac:dyDescent="0.25">
      <c r="A43" s="2" t="s">
        <v>172</v>
      </c>
      <c r="B43" t="s">
        <v>173</v>
      </c>
      <c r="C43" t="s">
        <v>60</v>
      </c>
      <c r="D43" t="s">
        <v>55</v>
      </c>
      <c r="E43" t="s">
        <v>35</v>
      </c>
      <c r="F43" t="s">
        <v>15</v>
      </c>
      <c r="G43" t="s">
        <v>174</v>
      </c>
      <c r="H43" t="s">
        <v>37</v>
      </c>
      <c r="I43" t="s">
        <v>18</v>
      </c>
      <c r="J43">
        <v>92.3</v>
      </c>
    </row>
    <row r="44" spans="1:10" x14ac:dyDescent="0.25">
      <c r="A44" s="2" t="s">
        <v>175</v>
      </c>
      <c r="B44" t="s">
        <v>176</v>
      </c>
      <c r="C44" t="s">
        <v>12</v>
      </c>
      <c r="D44" t="s">
        <v>177</v>
      </c>
      <c r="E44" t="s">
        <v>35</v>
      </c>
      <c r="F44" t="s">
        <v>15</v>
      </c>
      <c r="G44" t="s">
        <v>159</v>
      </c>
      <c r="H44" t="s">
        <v>37</v>
      </c>
      <c r="I44" t="s">
        <v>18</v>
      </c>
      <c r="J44">
        <v>91.7</v>
      </c>
    </row>
    <row r="45" spans="1:10" x14ac:dyDescent="0.25">
      <c r="A45" s="2" t="s">
        <v>178</v>
      </c>
      <c r="B45" t="s">
        <v>179</v>
      </c>
      <c r="C45" t="s">
        <v>12</v>
      </c>
      <c r="D45" t="s">
        <v>103</v>
      </c>
      <c r="E45" t="s">
        <v>50</v>
      </c>
      <c r="F45" t="s">
        <v>30</v>
      </c>
      <c r="G45" t="s">
        <v>180</v>
      </c>
      <c r="H45" t="s">
        <v>52</v>
      </c>
      <c r="I45" t="s">
        <v>18</v>
      </c>
      <c r="J45">
        <v>92.8</v>
      </c>
    </row>
    <row r="46" spans="1:10" x14ac:dyDescent="0.25">
      <c r="A46" s="2" t="s">
        <v>181</v>
      </c>
      <c r="B46" t="s">
        <v>182</v>
      </c>
      <c r="C46" t="s">
        <v>21</v>
      </c>
      <c r="D46" t="s">
        <v>142</v>
      </c>
      <c r="E46" t="s">
        <v>29</v>
      </c>
      <c r="F46" t="s">
        <v>51</v>
      </c>
      <c r="G46" t="s">
        <v>143</v>
      </c>
      <c r="H46" t="s">
        <v>52</v>
      </c>
      <c r="I46" t="s">
        <v>38</v>
      </c>
      <c r="J46">
        <v>78.8</v>
      </c>
    </row>
    <row r="47" spans="1:10" x14ac:dyDescent="0.25">
      <c r="A47" s="2" t="s">
        <v>183</v>
      </c>
      <c r="B47" t="s">
        <v>184</v>
      </c>
      <c r="C47" t="s">
        <v>34</v>
      </c>
      <c r="D47" t="s">
        <v>132</v>
      </c>
      <c r="E47" t="s">
        <v>56</v>
      </c>
      <c r="F47" t="s">
        <v>89</v>
      </c>
      <c r="G47" t="s">
        <v>24</v>
      </c>
      <c r="H47" t="s">
        <v>17</v>
      </c>
      <c r="I47" t="s">
        <v>18</v>
      </c>
      <c r="J47">
        <v>81.5</v>
      </c>
    </row>
    <row r="48" spans="1:10" x14ac:dyDescent="0.25">
      <c r="A48" s="2" t="s">
        <v>185</v>
      </c>
      <c r="B48" t="s">
        <v>186</v>
      </c>
      <c r="C48" t="s">
        <v>48</v>
      </c>
      <c r="D48" t="s">
        <v>187</v>
      </c>
      <c r="E48" t="s">
        <v>43</v>
      </c>
      <c r="F48" t="s">
        <v>188</v>
      </c>
      <c r="G48" t="s">
        <v>57</v>
      </c>
      <c r="H48" t="s">
        <v>17</v>
      </c>
      <c r="I48" t="s">
        <v>18</v>
      </c>
      <c r="J48">
        <v>97.3</v>
      </c>
    </row>
    <row r="49" spans="1:10" x14ac:dyDescent="0.25">
      <c r="A49" s="2" t="s">
        <v>189</v>
      </c>
      <c r="B49" t="s">
        <v>190</v>
      </c>
      <c r="C49" t="s">
        <v>12</v>
      </c>
      <c r="D49" t="s">
        <v>13</v>
      </c>
      <c r="E49" t="s">
        <v>56</v>
      </c>
      <c r="F49" t="s">
        <v>51</v>
      </c>
      <c r="G49" t="s">
        <v>45</v>
      </c>
      <c r="H49" t="s">
        <v>37</v>
      </c>
      <c r="I49" t="s">
        <v>38</v>
      </c>
      <c r="J49">
        <v>92.3</v>
      </c>
    </row>
    <row r="50" spans="1:10" x14ac:dyDescent="0.25">
      <c r="A50" s="2" t="s">
        <v>191</v>
      </c>
      <c r="B50" t="s">
        <v>192</v>
      </c>
      <c r="C50" t="s">
        <v>21</v>
      </c>
      <c r="D50" t="s">
        <v>28</v>
      </c>
      <c r="E50" t="s">
        <v>50</v>
      </c>
      <c r="F50" t="s">
        <v>148</v>
      </c>
      <c r="G50" t="s">
        <v>129</v>
      </c>
      <c r="H50" t="s">
        <v>17</v>
      </c>
      <c r="I50" t="s">
        <v>38</v>
      </c>
      <c r="J50">
        <v>93</v>
      </c>
    </row>
    <row r="51" spans="1:10" x14ac:dyDescent="0.25">
      <c r="A51" s="2" t="s">
        <v>193</v>
      </c>
      <c r="B51" t="s">
        <v>194</v>
      </c>
      <c r="C51" t="s">
        <v>48</v>
      </c>
      <c r="D51" t="s">
        <v>49</v>
      </c>
      <c r="E51" t="s">
        <v>14</v>
      </c>
      <c r="F51" t="s">
        <v>15</v>
      </c>
      <c r="G51" t="s">
        <v>73</v>
      </c>
      <c r="H51" t="s">
        <v>52</v>
      </c>
      <c r="I51" t="s">
        <v>38</v>
      </c>
      <c r="J51">
        <v>93.2</v>
      </c>
    </row>
    <row r="52" spans="1:10" x14ac:dyDescent="0.25">
      <c r="A52" s="2" t="s">
        <v>195</v>
      </c>
      <c r="B52" t="s">
        <v>196</v>
      </c>
      <c r="C52" t="s">
        <v>21</v>
      </c>
      <c r="D52" t="s">
        <v>22</v>
      </c>
      <c r="E52" t="s">
        <v>43</v>
      </c>
      <c r="F52" t="s">
        <v>89</v>
      </c>
      <c r="G52" t="s">
        <v>135</v>
      </c>
      <c r="H52" t="s">
        <v>17</v>
      </c>
      <c r="I52" t="s">
        <v>38</v>
      </c>
      <c r="J52">
        <v>83.4</v>
      </c>
    </row>
    <row r="53" spans="1:10" x14ac:dyDescent="0.25">
      <c r="A53" s="2" t="s">
        <v>197</v>
      </c>
      <c r="B53" t="s">
        <v>198</v>
      </c>
      <c r="C53" t="s">
        <v>41</v>
      </c>
      <c r="D53" t="s">
        <v>42</v>
      </c>
      <c r="E53" t="s">
        <v>50</v>
      </c>
      <c r="F53" t="s">
        <v>62</v>
      </c>
      <c r="G53" t="s">
        <v>152</v>
      </c>
      <c r="H53" t="s">
        <v>64</v>
      </c>
      <c r="I53" t="s">
        <v>18</v>
      </c>
      <c r="J53">
        <v>91</v>
      </c>
    </row>
    <row r="54" spans="1:10" x14ac:dyDescent="0.25">
      <c r="A54" s="2" t="s">
        <v>199</v>
      </c>
      <c r="B54" t="s">
        <v>200</v>
      </c>
      <c r="C54" t="s">
        <v>41</v>
      </c>
      <c r="D54" t="s">
        <v>49</v>
      </c>
      <c r="E54" t="s">
        <v>98</v>
      </c>
      <c r="F54" t="s">
        <v>15</v>
      </c>
      <c r="G54" t="s">
        <v>31</v>
      </c>
      <c r="H54" t="s">
        <v>52</v>
      </c>
      <c r="I54" t="s">
        <v>18</v>
      </c>
      <c r="J54">
        <v>92.3</v>
      </c>
    </row>
    <row r="55" spans="1:10" x14ac:dyDescent="0.25">
      <c r="A55" s="2" t="s">
        <v>201</v>
      </c>
      <c r="B55" t="s">
        <v>202</v>
      </c>
      <c r="C55" t="s">
        <v>48</v>
      </c>
      <c r="D55" t="s">
        <v>203</v>
      </c>
      <c r="E55" t="s">
        <v>56</v>
      </c>
      <c r="F55" t="s">
        <v>188</v>
      </c>
      <c r="G55" t="s">
        <v>108</v>
      </c>
      <c r="H55" t="s">
        <v>37</v>
      </c>
      <c r="I55" t="s">
        <v>38</v>
      </c>
      <c r="J55">
        <v>79</v>
      </c>
    </row>
    <row r="56" spans="1:10" x14ac:dyDescent="0.25">
      <c r="A56" s="2" t="s">
        <v>204</v>
      </c>
      <c r="B56" t="s">
        <v>205</v>
      </c>
      <c r="C56" t="s">
        <v>34</v>
      </c>
      <c r="D56" t="s">
        <v>158</v>
      </c>
      <c r="E56" t="s">
        <v>56</v>
      </c>
      <c r="F56" t="s">
        <v>148</v>
      </c>
      <c r="G56" t="s">
        <v>24</v>
      </c>
      <c r="H56" t="s">
        <v>17</v>
      </c>
      <c r="I56" t="s">
        <v>18</v>
      </c>
      <c r="J56">
        <v>94.1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091D3-D90F-408F-93EF-937C5A284F17}">
  <dimension ref="A1:J56"/>
  <sheetViews>
    <sheetView zoomScale="85" zoomScaleNormal="85" workbookViewId="0">
      <selection activeCell="M12" sqref="C12:M17"/>
    </sheetView>
  </sheetViews>
  <sheetFormatPr defaultRowHeight="15" x14ac:dyDescent="0.25"/>
  <cols>
    <col min="1" max="1" width="30.5703125" style="11" bestFit="1" customWidth="1"/>
    <col min="2" max="2" width="23.85546875" bestFit="1" customWidth="1"/>
    <col min="3" max="3" width="11.85546875" bestFit="1" customWidth="1"/>
    <col min="4" max="4" width="12.85546875" bestFit="1" customWidth="1"/>
    <col min="5" max="5" width="16.5703125" bestFit="1" customWidth="1"/>
    <col min="6" max="6" width="17.28515625" bestFit="1" customWidth="1"/>
    <col min="7" max="7" width="20.42578125" style="3" bestFit="1" customWidth="1"/>
    <col min="8" max="8" width="16.28515625" bestFit="1" customWidth="1"/>
    <col min="9" max="9" width="19.85546875" bestFit="1" customWidth="1"/>
    <col min="10" max="10" width="20.7109375" style="8" bestFit="1" customWidth="1"/>
  </cols>
  <sheetData>
    <row r="1" spans="1:10" ht="15.75" x14ac:dyDescent="0.25">
      <c r="A1" s="10" t="s">
        <v>0</v>
      </c>
      <c r="B1" s="4" t="s">
        <v>1</v>
      </c>
      <c r="C1" s="4" t="s">
        <v>2</v>
      </c>
      <c r="D1" s="4" t="s">
        <v>3</v>
      </c>
      <c r="E1" s="4" t="s">
        <v>4</v>
      </c>
      <c r="F1" s="4" t="s">
        <v>5</v>
      </c>
      <c r="G1" s="6" t="s">
        <v>6</v>
      </c>
      <c r="H1" s="4" t="s">
        <v>7</v>
      </c>
      <c r="I1" s="4" t="s">
        <v>8</v>
      </c>
      <c r="J1" s="7" t="s">
        <v>9</v>
      </c>
    </row>
    <row r="2" spans="1:10" ht="15.75" x14ac:dyDescent="0.25">
      <c r="A2" s="10">
        <v>158813998698</v>
      </c>
      <c r="B2" s="5" t="s">
        <v>206</v>
      </c>
      <c r="C2" s="5" t="s">
        <v>12</v>
      </c>
      <c r="D2" s="5" t="s">
        <v>13</v>
      </c>
      <c r="E2" s="5" t="s">
        <v>14</v>
      </c>
      <c r="F2" s="5" t="s">
        <v>15</v>
      </c>
      <c r="G2" s="6">
        <v>45833</v>
      </c>
      <c r="H2" s="5" t="s">
        <v>17</v>
      </c>
      <c r="I2" s="5" t="s">
        <v>18</v>
      </c>
      <c r="J2" s="7"/>
    </row>
    <row r="3" spans="1:10" ht="15.75" x14ac:dyDescent="0.25">
      <c r="A3" s="10">
        <v>568151884472</v>
      </c>
      <c r="B3" s="5" t="s">
        <v>207</v>
      </c>
      <c r="C3" s="5" t="s">
        <v>21</v>
      </c>
      <c r="D3" s="5" t="s">
        <v>22</v>
      </c>
      <c r="E3" s="5" t="s">
        <v>35</v>
      </c>
      <c r="F3" s="5" t="s">
        <v>15</v>
      </c>
      <c r="G3" s="6">
        <v>45835</v>
      </c>
      <c r="H3" s="5" t="s">
        <v>37</v>
      </c>
      <c r="I3" s="5" t="s">
        <v>18</v>
      </c>
      <c r="J3" s="7">
        <v>97.6</v>
      </c>
    </row>
    <row r="4" spans="1:10" ht="15.75" x14ac:dyDescent="0.25">
      <c r="A4" s="10">
        <v>880932081967</v>
      </c>
      <c r="B4" s="5" t="s">
        <v>208</v>
      </c>
      <c r="C4" s="5" t="s">
        <v>21</v>
      </c>
      <c r="D4" s="5" t="s">
        <v>28</v>
      </c>
      <c r="E4" s="5" t="s">
        <v>56</v>
      </c>
      <c r="F4" s="5" t="s">
        <v>30</v>
      </c>
      <c r="G4" s="6">
        <v>45833</v>
      </c>
      <c r="H4" s="5" t="s">
        <v>17</v>
      </c>
      <c r="I4" s="5" t="s">
        <v>18</v>
      </c>
      <c r="J4" s="7">
        <v>83.4</v>
      </c>
    </row>
    <row r="5" spans="1:10" ht="15.75" x14ac:dyDescent="0.25">
      <c r="A5" s="10">
        <v>768045717847</v>
      </c>
      <c r="B5" s="5" t="s">
        <v>209</v>
      </c>
      <c r="C5" s="5" t="s">
        <v>21</v>
      </c>
      <c r="D5" s="5" t="s">
        <v>22</v>
      </c>
      <c r="E5" s="5" t="s">
        <v>35</v>
      </c>
      <c r="F5" s="5" t="s">
        <v>15</v>
      </c>
      <c r="G5" s="6">
        <v>45824</v>
      </c>
      <c r="H5" s="5" t="s">
        <v>37</v>
      </c>
      <c r="I5" s="5" t="s">
        <v>38</v>
      </c>
      <c r="J5" s="7">
        <v>80.400000000000006</v>
      </c>
    </row>
    <row r="6" spans="1:10" ht="15.75" x14ac:dyDescent="0.25">
      <c r="A6" s="10">
        <v>379298416229</v>
      </c>
      <c r="B6" s="5" t="s">
        <v>210</v>
      </c>
      <c r="C6" s="5" t="s">
        <v>41</v>
      </c>
      <c r="D6" s="5" t="s">
        <v>42</v>
      </c>
      <c r="E6" s="5" t="s">
        <v>50</v>
      </c>
      <c r="F6" s="5" t="s">
        <v>44</v>
      </c>
      <c r="G6" s="6">
        <v>45823</v>
      </c>
      <c r="H6" s="5" t="s">
        <v>17</v>
      </c>
      <c r="I6" s="5" t="s">
        <v>18</v>
      </c>
      <c r="J6" s="7">
        <v>97</v>
      </c>
    </row>
    <row r="7" spans="1:10" ht="15.75" x14ac:dyDescent="0.25">
      <c r="A7" s="10">
        <v>992298369579</v>
      </c>
      <c r="B7" s="5" t="s">
        <v>211</v>
      </c>
      <c r="C7" s="5" t="s">
        <v>41</v>
      </c>
      <c r="D7" s="5" t="s">
        <v>49</v>
      </c>
      <c r="E7" s="5" t="s">
        <v>50</v>
      </c>
      <c r="F7" s="5" t="s">
        <v>89</v>
      </c>
      <c r="G7" s="6">
        <v>45833</v>
      </c>
      <c r="H7" s="5" t="s">
        <v>52</v>
      </c>
      <c r="I7" s="5" t="s">
        <v>38</v>
      </c>
      <c r="J7" s="7">
        <v>97.1</v>
      </c>
    </row>
    <row r="8" spans="1:10" ht="15.75" x14ac:dyDescent="0.25">
      <c r="A8" s="10">
        <v>226468616425</v>
      </c>
      <c r="B8" s="5" t="s">
        <v>213</v>
      </c>
      <c r="C8" s="5" t="s">
        <v>12</v>
      </c>
      <c r="D8" s="5" t="s">
        <v>55</v>
      </c>
      <c r="E8" s="5" t="s">
        <v>56</v>
      </c>
      <c r="F8" s="5"/>
      <c r="G8" s="6">
        <v>45830</v>
      </c>
      <c r="H8" s="5" t="s">
        <v>17</v>
      </c>
      <c r="I8" s="5"/>
      <c r="J8" s="7">
        <v>81.099999999999994</v>
      </c>
    </row>
    <row r="9" spans="1:10" ht="15.75" x14ac:dyDescent="0.25">
      <c r="A9" s="10">
        <v>898319489394</v>
      </c>
      <c r="B9" s="5" t="s">
        <v>214</v>
      </c>
      <c r="C9" s="5" t="s">
        <v>12</v>
      </c>
      <c r="D9" s="5" t="s">
        <v>61</v>
      </c>
      <c r="E9" s="5" t="s">
        <v>56</v>
      </c>
      <c r="F9" s="5" t="s">
        <v>62</v>
      </c>
      <c r="G9" s="6">
        <v>45832</v>
      </c>
      <c r="H9" s="5" t="s">
        <v>17</v>
      </c>
      <c r="I9" s="5" t="s">
        <v>18</v>
      </c>
      <c r="J9" s="7">
        <v>96</v>
      </c>
    </row>
    <row r="10" spans="1:10" ht="15.75" x14ac:dyDescent="0.25">
      <c r="A10" s="10">
        <v>460013041189</v>
      </c>
      <c r="B10" s="5" t="s">
        <v>215</v>
      </c>
      <c r="C10" s="5" t="s">
        <v>21</v>
      </c>
      <c r="D10" s="5" t="s">
        <v>67</v>
      </c>
      <c r="E10" s="5" t="s">
        <v>56</v>
      </c>
      <c r="F10" s="5" t="s">
        <v>89</v>
      </c>
      <c r="G10" s="6">
        <v>45836</v>
      </c>
      <c r="H10" s="5" t="s">
        <v>17</v>
      </c>
      <c r="I10" s="5" t="s">
        <v>18</v>
      </c>
      <c r="J10" s="7">
        <v>95.6</v>
      </c>
    </row>
    <row r="11" spans="1:10" ht="15.75" x14ac:dyDescent="0.25">
      <c r="A11" s="10">
        <v>454146590853</v>
      </c>
      <c r="B11" s="5" t="s">
        <v>216</v>
      </c>
      <c r="C11" s="5" t="s">
        <v>41</v>
      </c>
      <c r="D11" s="5" t="s">
        <v>71</v>
      </c>
      <c r="E11" s="5" t="s">
        <v>56</v>
      </c>
      <c r="F11" s="5" t="s">
        <v>72</v>
      </c>
      <c r="G11" s="6">
        <v>45829</v>
      </c>
      <c r="H11" s="5" t="s">
        <v>17</v>
      </c>
      <c r="I11" s="5" t="s">
        <v>38</v>
      </c>
      <c r="J11" s="7">
        <v>92.3</v>
      </c>
    </row>
    <row r="12" spans="1:10" ht="15.75" x14ac:dyDescent="0.25">
      <c r="A12" s="10">
        <v>886423004876</v>
      </c>
      <c r="B12" s="5" t="s">
        <v>217</v>
      </c>
      <c r="C12" s="5" t="s">
        <v>41</v>
      </c>
      <c r="D12" s="5" t="s">
        <v>76</v>
      </c>
      <c r="E12" s="5" t="s">
        <v>56</v>
      </c>
      <c r="F12" s="5" t="s">
        <v>44</v>
      </c>
      <c r="G12" s="6">
        <v>45833</v>
      </c>
      <c r="H12" s="5" t="s">
        <v>37</v>
      </c>
      <c r="I12" s="5" t="s">
        <v>38</v>
      </c>
      <c r="J12" s="7">
        <v>96.5</v>
      </c>
    </row>
    <row r="13" spans="1:10" ht="15.75" x14ac:dyDescent="0.25">
      <c r="A13" s="10">
        <v>653845355778</v>
      </c>
      <c r="B13" s="5" t="s">
        <v>218</v>
      </c>
      <c r="C13" s="5" t="s">
        <v>12</v>
      </c>
      <c r="D13" s="5" t="s">
        <v>13</v>
      </c>
      <c r="E13" s="5" t="s">
        <v>35</v>
      </c>
      <c r="F13" s="5" t="s">
        <v>15</v>
      </c>
      <c r="G13" s="6">
        <v>45824</v>
      </c>
      <c r="H13" s="5" t="s">
        <v>37</v>
      </c>
      <c r="I13" s="5" t="s">
        <v>38</v>
      </c>
      <c r="J13" s="7">
        <v>96.1</v>
      </c>
    </row>
    <row r="14" spans="1:10" ht="15.75" x14ac:dyDescent="0.25">
      <c r="A14" s="10">
        <v>839490668828</v>
      </c>
      <c r="B14" s="5" t="s">
        <v>219</v>
      </c>
      <c r="C14" s="5" t="s">
        <v>21</v>
      </c>
      <c r="D14" s="5" t="s">
        <v>22</v>
      </c>
      <c r="E14" s="5" t="s">
        <v>50</v>
      </c>
      <c r="F14" s="5" t="s">
        <v>62</v>
      </c>
      <c r="G14" s="6">
        <v>45825</v>
      </c>
      <c r="H14" s="5" t="s">
        <v>52</v>
      </c>
      <c r="I14" s="5"/>
      <c r="J14" s="7">
        <v>93.4</v>
      </c>
    </row>
    <row r="15" spans="1:10" ht="15.75" x14ac:dyDescent="0.25">
      <c r="A15" s="10">
        <v>828025822018</v>
      </c>
      <c r="B15" s="5" t="s">
        <v>220</v>
      </c>
      <c r="C15" s="5" t="s">
        <v>41</v>
      </c>
      <c r="D15" s="5" t="s">
        <v>86</v>
      </c>
      <c r="E15" s="5" t="s">
        <v>50</v>
      </c>
      <c r="F15" s="5" t="s">
        <v>62</v>
      </c>
      <c r="G15" s="6">
        <v>45836</v>
      </c>
      <c r="H15" s="5" t="s">
        <v>17</v>
      </c>
      <c r="I15" s="5" t="s">
        <v>18</v>
      </c>
      <c r="J15" s="7">
        <v>96.2</v>
      </c>
    </row>
    <row r="16" spans="1:10" ht="15.75" x14ac:dyDescent="0.25">
      <c r="A16" s="10">
        <v>188357951117</v>
      </c>
      <c r="B16" s="5" t="s">
        <v>221</v>
      </c>
      <c r="C16" s="5" t="s">
        <v>12</v>
      </c>
      <c r="D16" s="5" t="s">
        <v>55</v>
      </c>
      <c r="E16" s="5" t="s">
        <v>56</v>
      </c>
      <c r="F16" s="5" t="s">
        <v>89</v>
      </c>
      <c r="G16" s="6">
        <v>45836</v>
      </c>
      <c r="H16" s="5" t="s">
        <v>17</v>
      </c>
      <c r="I16" s="5" t="s">
        <v>18</v>
      </c>
      <c r="J16" s="7">
        <v>85.6</v>
      </c>
    </row>
    <row r="17" spans="1:10" ht="15.75" x14ac:dyDescent="0.25">
      <c r="A17" s="10">
        <v>279264515474</v>
      </c>
      <c r="B17" s="5" t="s">
        <v>222</v>
      </c>
      <c r="C17" s="5" t="s">
        <v>41</v>
      </c>
      <c r="D17" s="5" t="s">
        <v>92</v>
      </c>
      <c r="E17" s="5" t="s">
        <v>56</v>
      </c>
      <c r="F17" s="5" t="s">
        <v>89</v>
      </c>
      <c r="G17" s="6">
        <v>45828</v>
      </c>
      <c r="H17" s="5" t="s">
        <v>17</v>
      </c>
      <c r="I17" s="5" t="s">
        <v>38</v>
      </c>
      <c r="J17" s="7">
        <v>79.2</v>
      </c>
    </row>
    <row r="18" spans="1:10" ht="15.75" x14ac:dyDescent="0.25">
      <c r="A18" s="10">
        <v>620484259967</v>
      </c>
      <c r="B18" s="5" t="s">
        <v>223</v>
      </c>
      <c r="C18" s="5" t="s">
        <v>21</v>
      </c>
      <c r="D18" s="5" t="s">
        <v>151</v>
      </c>
      <c r="E18" s="5" t="s">
        <v>98</v>
      </c>
      <c r="F18" s="5" t="s">
        <v>15</v>
      </c>
      <c r="G18" s="6">
        <v>45832</v>
      </c>
      <c r="H18" s="5" t="s">
        <v>52</v>
      </c>
      <c r="I18" s="5" t="s">
        <v>38</v>
      </c>
      <c r="J18" s="7">
        <v>79.900000000000006</v>
      </c>
    </row>
    <row r="19" spans="1:10" ht="15.75" x14ac:dyDescent="0.25">
      <c r="A19" s="10">
        <v>537392419689</v>
      </c>
      <c r="B19" s="5" t="s">
        <v>224</v>
      </c>
      <c r="C19" s="5" t="s">
        <v>12</v>
      </c>
      <c r="D19" s="5" t="s">
        <v>61</v>
      </c>
      <c r="E19" s="5" t="s">
        <v>56</v>
      </c>
      <c r="F19" s="5" t="s">
        <v>44</v>
      </c>
      <c r="G19" s="6">
        <v>45830</v>
      </c>
      <c r="H19" s="5" t="s">
        <v>17</v>
      </c>
      <c r="I19" s="5" t="s">
        <v>18</v>
      </c>
      <c r="J19" s="7">
        <v>85.3</v>
      </c>
    </row>
    <row r="20" spans="1:10" ht="15.75" x14ac:dyDescent="0.25">
      <c r="A20" s="10">
        <v>735486439061</v>
      </c>
      <c r="B20" s="5" t="s">
        <v>225</v>
      </c>
      <c r="C20" s="5" t="s">
        <v>12</v>
      </c>
      <c r="D20" s="5" t="s">
        <v>55</v>
      </c>
      <c r="E20" s="5" t="s">
        <v>56</v>
      </c>
      <c r="F20" s="5" t="s">
        <v>89</v>
      </c>
      <c r="G20" s="6">
        <v>45831</v>
      </c>
      <c r="H20" s="5" t="s">
        <v>52</v>
      </c>
      <c r="I20" s="5" t="s">
        <v>18</v>
      </c>
      <c r="J20" s="7">
        <v>97.6</v>
      </c>
    </row>
    <row r="21" spans="1:10" ht="15.75" x14ac:dyDescent="0.25">
      <c r="A21" s="10">
        <v>285568983298</v>
      </c>
      <c r="B21" s="5" t="s">
        <v>226</v>
      </c>
      <c r="C21" s="5" t="s">
        <v>21</v>
      </c>
      <c r="D21" s="5" t="s">
        <v>67</v>
      </c>
      <c r="E21" s="5" t="s">
        <v>111</v>
      </c>
      <c r="F21" s="5" t="s">
        <v>15</v>
      </c>
      <c r="G21" s="6">
        <v>45827</v>
      </c>
      <c r="H21" s="5" t="s">
        <v>37</v>
      </c>
      <c r="I21" s="5" t="s">
        <v>18</v>
      </c>
      <c r="J21" s="7">
        <v>93</v>
      </c>
    </row>
    <row r="22" spans="1:10" ht="15.75" x14ac:dyDescent="0.25">
      <c r="A22" s="10">
        <v>269780438581</v>
      </c>
      <c r="B22" s="5" t="s">
        <v>227</v>
      </c>
      <c r="C22" s="5" t="s">
        <v>41</v>
      </c>
      <c r="D22" s="5" t="s">
        <v>49</v>
      </c>
      <c r="E22" s="5" t="s">
        <v>111</v>
      </c>
      <c r="F22" s="5" t="s">
        <v>15</v>
      </c>
      <c r="G22" s="6">
        <v>45836</v>
      </c>
      <c r="H22" s="5" t="s">
        <v>17</v>
      </c>
      <c r="I22" s="5" t="s">
        <v>38</v>
      </c>
      <c r="J22" s="7">
        <v>79.8</v>
      </c>
    </row>
    <row r="23" spans="1:10" ht="15.75" x14ac:dyDescent="0.25">
      <c r="A23" s="10">
        <v>632337352866</v>
      </c>
      <c r="B23" s="5" t="s">
        <v>228</v>
      </c>
      <c r="C23" s="5" t="s">
        <v>12</v>
      </c>
      <c r="D23" s="5" t="s">
        <v>114</v>
      </c>
      <c r="E23" s="5" t="s">
        <v>50</v>
      </c>
      <c r="F23" s="5" t="s">
        <v>72</v>
      </c>
      <c r="G23" s="6">
        <v>45834</v>
      </c>
      <c r="H23" s="5" t="s">
        <v>52</v>
      </c>
      <c r="I23" s="5" t="s">
        <v>18</v>
      </c>
      <c r="J23" s="7"/>
    </row>
    <row r="24" spans="1:10" ht="15.75" x14ac:dyDescent="0.25">
      <c r="A24" s="10">
        <v>608244560787</v>
      </c>
      <c r="B24" s="5" t="s">
        <v>229</v>
      </c>
      <c r="C24" s="5" t="s">
        <v>41</v>
      </c>
      <c r="D24" s="5" t="s">
        <v>92</v>
      </c>
      <c r="E24" s="5" t="s">
        <v>14</v>
      </c>
      <c r="F24" s="5" t="s">
        <v>15</v>
      </c>
      <c r="G24" s="6">
        <v>45828</v>
      </c>
      <c r="H24" s="5" t="s">
        <v>37</v>
      </c>
      <c r="I24" s="5" t="s">
        <v>18</v>
      </c>
      <c r="J24" s="7">
        <v>88.5</v>
      </c>
    </row>
    <row r="25" spans="1:10" ht="15.75" x14ac:dyDescent="0.25">
      <c r="A25" s="10">
        <v>814401901879</v>
      </c>
      <c r="B25" s="5" t="s">
        <v>230</v>
      </c>
      <c r="C25" s="5" t="s">
        <v>12</v>
      </c>
      <c r="D25" s="5" t="s">
        <v>114</v>
      </c>
      <c r="E25" s="5" t="s">
        <v>50</v>
      </c>
      <c r="F25" s="5" t="s">
        <v>72</v>
      </c>
      <c r="G25" s="6">
        <v>45827</v>
      </c>
      <c r="H25" s="5" t="s">
        <v>52</v>
      </c>
      <c r="I25" s="5" t="s">
        <v>38</v>
      </c>
      <c r="J25" s="7">
        <v>92.6</v>
      </c>
    </row>
    <row r="26" spans="1:10" ht="15.75" x14ac:dyDescent="0.25">
      <c r="A26" s="10">
        <v>524735736385</v>
      </c>
      <c r="B26" s="5" t="s">
        <v>231</v>
      </c>
      <c r="C26" s="5" t="s">
        <v>41</v>
      </c>
      <c r="D26" s="5" t="s">
        <v>71</v>
      </c>
      <c r="E26" s="5" t="s">
        <v>50</v>
      </c>
      <c r="F26" s="5" t="s">
        <v>89</v>
      </c>
      <c r="G26" s="6">
        <v>45830</v>
      </c>
      <c r="H26" s="5" t="s">
        <v>17</v>
      </c>
      <c r="I26" s="5" t="s">
        <v>18</v>
      </c>
      <c r="J26" s="7">
        <v>92.7</v>
      </c>
    </row>
    <row r="27" spans="1:10" ht="15.75" x14ac:dyDescent="0.25">
      <c r="A27" s="10">
        <v>827611660330</v>
      </c>
      <c r="B27" s="5" t="s">
        <v>232</v>
      </c>
      <c r="C27" s="5" t="s">
        <v>12</v>
      </c>
      <c r="D27" s="5" t="s">
        <v>61</v>
      </c>
      <c r="E27" s="5" t="s">
        <v>14</v>
      </c>
      <c r="F27" s="5" t="s">
        <v>15</v>
      </c>
      <c r="G27" s="6">
        <v>45823</v>
      </c>
      <c r="H27" s="5" t="s">
        <v>37</v>
      </c>
      <c r="I27" s="5"/>
      <c r="J27" s="7">
        <v>97.3</v>
      </c>
    </row>
    <row r="28" spans="1:10" ht="15.75" x14ac:dyDescent="0.25">
      <c r="A28" s="10">
        <v>704121430490</v>
      </c>
      <c r="B28" s="5" t="s">
        <v>233</v>
      </c>
      <c r="C28" s="5" t="s">
        <v>21</v>
      </c>
      <c r="D28" s="5" t="s">
        <v>132</v>
      </c>
      <c r="E28" s="5" t="s">
        <v>56</v>
      </c>
      <c r="F28" s="5" t="s">
        <v>72</v>
      </c>
      <c r="G28" s="6">
        <v>45824</v>
      </c>
      <c r="H28" s="5" t="s">
        <v>52</v>
      </c>
      <c r="I28" s="5" t="s">
        <v>38</v>
      </c>
      <c r="J28" s="7">
        <v>81.400000000000006</v>
      </c>
    </row>
    <row r="29" spans="1:10" ht="15.75" x14ac:dyDescent="0.25">
      <c r="A29" s="10">
        <v>283856427105</v>
      </c>
      <c r="B29" s="5" t="s">
        <v>234</v>
      </c>
      <c r="C29" s="5" t="s">
        <v>41</v>
      </c>
      <c r="D29" s="5" t="s">
        <v>42</v>
      </c>
      <c r="E29" s="5" t="s">
        <v>50</v>
      </c>
      <c r="F29" s="5" t="s">
        <v>89</v>
      </c>
      <c r="G29" s="6">
        <v>45824</v>
      </c>
      <c r="H29" s="5" t="s">
        <v>17</v>
      </c>
      <c r="I29" s="5" t="s">
        <v>18</v>
      </c>
      <c r="J29" s="7">
        <v>92.9</v>
      </c>
    </row>
    <row r="30" spans="1:10" ht="15.75" x14ac:dyDescent="0.25">
      <c r="A30" s="10">
        <v>904316349992</v>
      </c>
      <c r="B30" s="5" t="s">
        <v>235</v>
      </c>
      <c r="C30" s="5" t="s">
        <v>21</v>
      </c>
      <c r="D30" s="5" t="s">
        <v>132</v>
      </c>
      <c r="E30" s="5" t="s">
        <v>35</v>
      </c>
      <c r="F30" s="5" t="s">
        <v>15</v>
      </c>
      <c r="G30" s="6">
        <v>45831</v>
      </c>
      <c r="H30" s="5" t="s">
        <v>17</v>
      </c>
      <c r="I30" s="5" t="s">
        <v>38</v>
      </c>
      <c r="J30" s="7">
        <v>81</v>
      </c>
    </row>
    <row r="31" spans="1:10" ht="15.75" x14ac:dyDescent="0.25">
      <c r="A31" s="10">
        <v>407942607911</v>
      </c>
      <c r="B31" s="5" t="s">
        <v>236</v>
      </c>
      <c r="C31" s="5" t="s">
        <v>12</v>
      </c>
      <c r="D31" s="5" t="s">
        <v>55</v>
      </c>
      <c r="E31" s="5" t="s">
        <v>56</v>
      </c>
      <c r="F31" s="5" t="s">
        <v>89</v>
      </c>
      <c r="G31" s="6">
        <v>45828</v>
      </c>
      <c r="H31" s="5" t="s">
        <v>52</v>
      </c>
      <c r="I31" s="5" t="s">
        <v>38</v>
      </c>
      <c r="J31" s="7"/>
    </row>
    <row r="32" spans="1:10" ht="15.75" x14ac:dyDescent="0.25">
      <c r="A32" s="10">
        <v>463521362958</v>
      </c>
      <c r="B32" s="5" t="s">
        <v>237</v>
      </c>
      <c r="C32" s="5" t="s">
        <v>21</v>
      </c>
      <c r="D32" s="5" t="s">
        <v>142</v>
      </c>
      <c r="E32" s="5" t="s">
        <v>50</v>
      </c>
      <c r="F32" s="5" t="s">
        <v>62</v>
      </c>
      <c r="G32" s="6">
        <v>45826</v>
      </c>
      <c r="H32" s="5" t="s">
        <v>17</v>
      </c>
      <c r="I32" s="5" t="s">
        <v>38</v>
      </c>
      <c r="J32" s="7">
        <v>87.9</v>
      </c>
    </row>
    <row r="33" spans="1:10" ht="15.75" x14ac:dyDescent="0.25">
      <c r="A33" s="10">
        <v>849855683068</v>
      </c>
      <c r="B33" s="5" t="s">
        <v>238</v>
      </c>
      <c r="C33" s="5" t="s">
        <v>41</v>
      </c>
      <c r="D33" s="5" t="s">
        <v>92</v>
      </c>
      <c r="E33" s="5" t="s">
        <v>50</v>
      </c>
      <c r="F33" s="5" t="s">
        <v>72</v>
      </c>
      <c r="G33" s="6">
        <v>45830</v>
      </c>
      <c r="H33" s="5" t="s">
        <v>52</v>
      </c>
      <c r="I33" s="5" t="s">
        <v>38</v>
      </c>
      <c r="J33" s="7">
        <v>97.6</v>
      </c>
    </row>
    <row r="34" spans="1:10" ht="15.75" x14ac:dyDescent="0.25">
      <c r="A34" s="10">
        <v>136179581635</v>
      </c>
      <c r="B34" s="5" t="s">
        <v>239</v>
      </c>
      <c r="C34" s="5" t="s">
        <v>12</v>
      </c>
      <c r="D34" s="5" t="s">
        <v>13</v>
      </c>
      <c r="E34" s="5" t="s">
        <v>50</v>
      </c>
      <c r="F34" s="5" t="s">
        <v>30</v>
      </c>
      <c r="G34" s="6">
        <v>45824</v>
      </c>
      <c r="H34" s="5" t="s">
        <v>52</v>
      </c>
      <c r="I34" s="5" t="s">
        <v>38</v>
      </c>
      <c r="J34" s="7">
        <v>97.6</v>
      </c>
    </row>
    <row r="35" spans="1:10" ht="15.75" x14ac:dyDescent="0.25">
      <c r="A35" s="10">
        <v>210761770775</v>
      </c>
      <c r="B35" s="5" t="s">
        <v>240</v>
      </c>
      <c r="C35" s="5" t="s">
        <v>21</v>
      </c>
      <c r="D35" s="5" t="s">
        <v>151</v>
      </c>
      <c r="E35" s="5" t="s">
        <v>14</v>
      </c>
      <c r="F35" s="5" t="s">
        <v>15</v>
      </c>
      <c r="G35" s="6">
        <v>45836</v>
      </c>
      <c r="H35" s="5" t="s">
        <v>37</v>
      </c>
      <c r="I35" s="5" t="s">
        <v>18</v>
      </c>
      <c r="J35" s="7">
        <v>80</v>
      </c>
    </row>
    <row r="36" spans="1:10" ht="15.75" x14ac:dyDescent="0.25">
      <c r="A36" s="10">
        <v>351619945699</v>
      </c>
      <c r="B36" s="5" t="s">
        <v>241</v>
      </c>
      <c r="C36" s="5" t="s">
        <v>21</v>
      </c>
      <c r="D36" s="5" t="s">
        <v>142</v>
      </c>
      <c r="E36" s="5" t="s">
        <v>35</v>
      </c>
      <c r="F36" s="5" t="s">
        <v>15</v>
      </c>
      <c r="G36" s="6">
        <v>45836</v>
      </c>
      <c r="H36" s="5" t="s">
        <v>37</v>
      </c>
      <c r="I36" s="5" t="s">
        <v>18</v>
      </c>
      <c r="J36" s="7">
        <v>84.2</v>
      </c>
    </row>
    <row r="37" spans="1:10" ht="15.75" x14ac:dyDescent="0.25">
      <c r="A37" s="10">
        <v>441930399551</v>
      </c>
      <c r="B37" s="5" t="s">
        <v>242</v>
      </c>
      <c r="C37" s="5" t="s">
        <v>21</v>
      </c>
      <c r="D37" s="5" t="s">
        <v>142</v>
      </c>
      <c r="E37" s="5" t="s">
        <v>56</v>
      </c>
      <c r="F37" s="5" t="s">
        <v>89</v>
      </c>
      <c r="G37" s="6">
        <v>45835</v>
      </c>
      <c r="H37" s="5" t="s">
        <v>37</v>
      </c>
      <c r="I37" s="5" t="s">
        <v>18</v>
      </c>
      <c r="J37" s="7">
        <v>86.3</v>
      </c>
    </row>
    <row r="38" spans="1:10" ht="15.75" x14ac:dyDescent="0.25">
      <c r="A38" s="10">
        <v>440330132059</v>
      </c>
      <c r="B38" s="5" t="s">
        <v>243</v>
      </c>
      <c r="C38" s="5" t="s">
        <v>21</v>
      </c>
      <c r="D38" s="5" t="s">
        <v>28</v>
      </c>
      <c r="E38" s="5" t="s">
        <v>35</v>
      </c>
      <c r="F38" s="5" t="s">
        <v>15</v>
      </c>
      <c r="G38" s="6">
        <v>45824</v>
      </c>
      <c r="H38" s="5" t="s">
        <v>52</v>
      </c>
      <c r="I38" s="5" t="s">
        <v>18</v>
      </c>
      <c r="J38" s="7">
        <v>94.7</v>
      </c>
    </row>
    <row r="39" spans="1:10" ht="15.75" x14ac:dyDescent="0.25">
      <c r="A39" s="10">
        <v>829601796772</v>
      </c>
      <c r="B39" s="5" t="s">
        <v>244</v>
      </c>
      <c r="C39" s="5" t="s">
        <v>12</v>
      </c>
      <c r="D39" s="5" t="s">
        <v>13</v>
      </c>
      <c r="E39" s="5" t="s">
        <v>50</v>
      </c>
      <c r="F39" s="5" t="s">
        <v>62</v>
      </c>
      <c r="G39" s="6">
        <v>45823</v>
      </c>
      <c r="H39" s="5" t="s">
        <v>52</v>
      </c>
      <c r="I39" s="5" t="s">
        <v>38</v>
      </c>
      <c r="J39" s="7"/>
    </row>
    <row r="40" spans="1:10" ht="15.75" x14ac:dyDescent="0.25">
      <c r="A40" s="10">
        <v>881813785222</v>
      </c>
      <c r="B40" s="5" t="s">
        <v>245</v>
      </c>
      <c r="C40" s="5" t="s">
        <v>21</v>
      </c>
      <c r="D40" s="5" t="s">
        <v>28</v>
      </c>
      <c r="E40" s="5" t="s">
        <v>56</v>
      </c>
      <c r="F40" s="5" t="s">
        <v>89</v>
      </c>
      <c r="G40" s="6">
        <v>45827</v>
      </c>
      <c r="H40" s="5" t="s">
        <v>37</v>
      </c>
      <c r="I40" s="5" t="s">
        <v>18</v>
      </c>
      <c r="J40" s="7">
        <v>83.5</v>
      </c>
    </row>
    <row r="41" spans="1:10" ht="15.75" x14ac:dyDescent="0.25">
      <c r="A41" s="10">
        <v>175442014613</v>
      </c>
      <c r="B41" s="5" t="s">
        <v>246</v>
      </c>
      <c r="C41" s="5" t="s">
        <v>12</v>
      </c>
      <c r="D41" s="5" t="s">
        <v>13</v>
      </c>
      <c r="E41" s="5" t="s">
        <v>35</v>
      </c>
      <c r="F41" s="5" t="s">
        <v>15</v>
      </c>
      <c r="G41" s="6">
        <v>45833</v>
      </c>
      <c r="H41" s="5" t="s">
        <v>37</v>
      </c>
      <c r="I41" s="5" t="s">
        <v>38</v>
      </c>
      <c r="J41" s="7">
        <v>92.3</v>
      </c>
    </row>
    <row r="42" spans="1:10" ht="15.75" x14ac:dyDescent="0.25">
      <c r="A42" s="10">
        <v>760553848856</v>
      </c>
      <c r="B42" s="5" t="s">
        <v>247</v>
      </c>
      <c r="C42" s="5" t="s">
        <v>41</v>
      </c>
      <c r="D42" s="5" t="s">
        <v>42</v>
      </c>
      <c r="E42" s="5" t="s">
        <v>50</v>
      </c>
      <c r="F42" s="5" t="s">
        <v>89</v>
      </c>
      <c r="G42" s="6">
        <v>45834</v>
      </c>
      <c r="H42" s="5" t="s">
        <v>17</v>
      </c>
      <c r="I42" s="5" t="s">
        <v>38</v>
      </c>
      <c r="J42" s="7">
        <v>83.6</v>
      </c>
    </row>
    <row r="43" spans="1:10" ht="15.75" x14ac:dyDescent="0.25">
      <c r="A43" s="10">
        <v>370108752623</v>
      </c>
      <c r="B43" s="5" t="s">
        <v>248</v>
      </c>
      <c r="C43" s="5" t="s">
        <v>12</v>
      </c>
      <c r="D43" s="5" t="s">
        <v>55</v>
      </c>
      <c r="E43" s="5" t="s">
        <v>35</v>
      </c>
      <c r="F43" s="5" t="s">
        <v>15</v>
      </c>
      <c r="G43" s="6">
        <v>45826</v>
      </c>
      <c r="H43" s="5" t="s">
        <v>37</v>
      </c>
      <c r="I43" s="5" t="s">
        <v>18</v>
      </c>
      <c r="J43" s="7">
        <v>92.3</v>
      </c>
    </row>
    <row r="44" spans="1:10" ht="15.75" x14ac:dyDescent="0.25">
      <c r="A44" s="10">
        <v>581342172334</v>
      </c>
      <c r="B44" s="5" t="s">
        <v>249</v>
      </c>
      <c r="C44" s="5" t="s">
        <v>12</v>
      </c>
      <c r="D44" s="5" t="s">
        <v>177</v>
      </c>
      <c r="E44" s="5" t="s">
        <v>35</v>
      </c>
      <c r="F44" s="5" t="s">
        <v>15</v>
      </c>
      <c r="G44" s="6">
        <v>45835</v>
      </c>
      <c r="H44" s="5" t="s">
        <v>37</v>
      </c>
      <c r="I44" s="5" t="s">
        <v>18</v>
      </c>
      <c r="J44" s="7">
        <v>91.7</v>
      </c>
    </row>
    <row r="45" spans="1:10" ht="15.75" x14ac:dyDescent="0.25">
      <c r="A45" s="10">
        <v>108235953494</v>
      </c>
      <c r="B45" s="5" t="s">
        <v>250</v>
      </c>
      <c r="C45" s="5" t="s">
        <v>12</v>
      </c>
      <c r="D45" s="5" t="s">
        <v>55</v>
      </c>
      <c r="E45" s="5" t="s">
        <v>50</v>
      </c>
      <c r="F45" s="5" t="s">
        <v>30</v>
      </c>
      <c r="G45" s="6">
        <v>45825</v>
      </c>
      <c r="H45" s="5" t="s">
        <v>52</v>
      </c>
      <c r="I45" s="5" t="s">
        <v>18</v>
      </c>
      <c r="J45" s="7">
        <v>92.8</v>
      </c>
    </row>
    <row r="46" spans="1:10" ht="15.75" x14ac:dyDescent="0.25">
      <c r="A46" s="10">
        <v>917039273305</v>
      </c>
      <c r="B46" s="5" t="s">
        <v>251</v>
      </c>
      <c r="C46" s="5" t="s">
        <v>21</v>
      </c>
      <c r="D46" s="5" t="s">
        <v>142</v>
      </c>
      <c r="E46" s="5" t="s">
        <v>56</v>
      </c>
      <c r="F46" s="5" t="s">
        <v>89</v>
      </c>
      <c r="G46" s="6">
        <v>45826</v>
      </c>
      <c r="H46" s="5" t="s">
        <v>52</v>
      </c>
      <c r="I46" s="5" t="s">
        <v>38</v>
      </c>
      <c r="J46" s="7">
        <v>78.8</v>
      </c>
    </row>
    <row r="47" spans="1:10" ht="15.75" x14ac:dyDescent="0.25">
      <c r="A47" s="10">
        <v>403004263716</v>
      </c>
      <c r="B47" s="5" t="s">
        <v>252</v>
      </c>
      <c r="C47" s="5" t="s">
        <v>21</v>
      </c>
      <c r="D47" s="5" t="s">
        <v>132</v>
      </c>
      <c r="E47" s="5" t="s">
        <v>56</v>
      </c>
      <c r="F47" s="5" t="s">
        <v>89</v>
      </c>
      <c r="G47" s="6">
        <v>45835</v>
      </c>
      <c r="H47" s="5" t="s">
        <v>17</v>
      </c>
      <c r="I47" s="5" t="s">
        <v>18</v>
      </c>
      <c r="J47" s="7">
        <v>81.5</v>
      </c>
    </row>
    <row r="48" spans="1:10" ht="15.75" x14ac:dyDescent="0.25">
      <c r="A48" s="10">
        <v>923981337027</v>
      </c>
      <c r="B48" s="5" t="s">
        <v>253</v>
      </c>
      <c r="C48" s="5" t="s">
        <v>41</v>
      </c>
      <c r="D48" s="5" t="s">
        <v>76</v>
      </c>
      <c r="E48" s="5" t="s">
        <v>50</v>
      </c>
      <c r="F48" s="5" t="s">
        <v>44</v>
      </c>
      <c r="G48" s="6">
        <v>45830</v>
      </c>
      <c r="H48" s="5" t="s">
        <v>17</v>
      </c>
      <c r="I48" s="5" t="s">
        <v>18</v>
      </c>
      <c r="J48" s="7">
        <v>97.3</v>
      </c>
    </row>
    <row r="49" spans="1:10" ht="15.75" x14ac:dyDescent="0.25">
      <c r="A49" s="10">
        <v>516768259734</v>
      </c>
      <c r="B49" s="5" t="s">
        <v>254</v>
      </c>
      <c r="C49" s="5" t="s">
        <v>12</v>
      </c>
      <c r="D49" s="5" t="s">
        <v>13</v>
      </c>
      <c r="E49" s="5" t="s">
        <v>56</v>
      </c>
      <c r="F49" s="5" t="s">
        <v>89</v>
      </c>
      <c r="G49" s="6">
        <v>45823</v>
      </c>
      <c r="H49" s="5" t="s">
        <v>37</v>
      </c>
      <c r="I49" s="5" t="s">
        <v>38</v>
      </c>
      <c r="J49" s="7">
        <v>92.3</v>
      </c>
    </row>
    <row r="50" spans="1:10" ht="15.75" x14ac:dyDescent="0.25">
      <c r="A50" s="10">
        <v>242204262837</v>
      </c>
      <c r="B50" s="5" t="s">
        <v>255</v>
      </c>
      <c r="C50" s="5" t="s">
        <v>21</v>
      </c>
      <c r="D50" s="5" t="s">
        <v>28</v>
      </c>
      <c r="E50" s="5" t="s">
        <v>50</v>
      </c>
      <c r="F50" s="5" t="s">
        <v>30</v>
      </c>
      <c r="G50" s="6">
        <v>45823</v>
      </c>
      <c r="H50" s="5" t="s">
        <v>17</v>
      </c>
      <c r="I50" s="5" t="s">
        <v>38</v>
      </c>
      <c r="J50" s="7">
        <v>93</v>
      </c>
    </row>
    <row r="51" spans="1:10" ht="15.75" x14ac:dyDescent="0.25">
      <c r="A51" s="10">
        <v>252695637827</v>
      </c>
      <c r="B51" s="5" t="s">
        <v>256</v>
      </c>
      <c r="C51" s="5" t="s">
        <v>41</v>
      </c>
      <c r="D51" s="5" t="s">
        <v>49</v>
      </c>
      <c r="E51" s="5" t="s">
        <v>14</v>
      </c>
      <c r="F51" s="5" t="s">
        <v>15</v>
      </c>
      <c r="G51" s="6">
        <v>45829</v>
      </c>
      <c r="H51" s="5" t="s">
        <v>52</v>
      </c>
      <c r="I51" s="5" t="s">
        <v>38</v>
      </c>
      <c r="J51" s="7">
        <v>93.2</v>
      </c>
    </row>
    <row r="52" spans="1:10" ht="15.75" x14ac:dyDescent="0.25">
      <c r="A52" s="10">
        <v>969534327465</v>
      </c>
      <c r="B52" s="5" t="s">
        <v>257</v>
      </c>
      <c r="C52" s="5" t="s">
        <v>21</v>
      </c>
      <c r="D52" s="5" t="s">
        <v>22</v>
      </c>
      <c r="E52" s="5" t="s">
        <v>50</v>
      </c>
      <c r="F52" s="5" t="s">
        <v>89</v>
      </c>
      <c r="G52" s="6">
        <v>45824</v>
      </c>
      <c r="H52" s="5" t="s">
        <v>17</v>
      </c>
      <c r="I52" s="5" t="s">
        <v>38</v>
      </c>
      <c r="J52" s="7">
        <v>83.4</v>
      </c>
    </row>
    <row r="53" spans="1:10" ht="15.75" x14ac:dyDescent="0.25">
      <c r="A53" s="10">
        <v>351658509868</v>
      </c>
      <c r="B53" s="5" t="s">
        <v>258</v>
      </c>
      <c r="C53" s="5" t="s">
        <v>41</v>
      </c>
      <c r="D53" s="5" t="s">
        <v>42</v>
      </c>
      <c r="E53" s="5" t="s">
        <v>50</v>
      </c>
      <c r="F53" s="5" t="s">
        <v>62</v>
      </c>
      <c r="G53" s="6">
        <v>45836</v>
      </c>
      <c r="H53" s="5" t="s">
        <v>17</v>
      </c>
      <c r="I53" s="5" t="s">
        <v>18</v>
      </c>
      <c r="J53" s="7">
        <v>91</v>
      </c>
    </row>
    <row r="54" spans="1:10" ht="15.75" x14ac:dyDescent="0.25">
      <c r="A54" s="10">
        <v>183419082386</v>
      </c>
      <c r="B54" s="5" t="s">
        <v>259</v>
      </c>
      <c r="C54" s="5" t="s">
        <v>41</v>
      </c>
      <c r="D54" s="5" t="s">
        <v>49</v>
      </c>
      <c r="E54" s="5" t="s">
        <v>98</v>
      </c>
      <c r="F54" s="5" t="s">
        <v>15</v>
      </c>
      <c r="G54" s="6">
        <v>45833</v>
      </c>
      <c r="H54" s="5" t="s">
        <v>52</v>
      </c>
      <c r="I54" s="5" t="s">
        <v>18</v>
      </c>
      <c r="J54" s="7">
        <v>92.3</v>
      </c>
    </row>
    <row r="55" spans="1:10" ht="15.75" x14ac:dyDescent="0.25">
      <c r="A55" s="10">
        <v>542468542427</v>
      </c>
      <c r="B55" s="5" t="s">
        <v>260</v>
      </c>
      <c r="C55" s="5" t="s">
        <v>41</v>
      </c>
      <c r="D55" s="5" t="s">
        <v>92</v>
      </c>
      <c r="E55" s="5" t="s">
        <v>56</v>
      </c>
      <c r="F55" s="5" t="s">
        <v>44</v>
      </c>
      <c r="G55" s="6">
        <v>45827</v>
      </c>
      <c r="H55" s="5" t="s">
        <v>37</v>
      </c>
      <c r="I55" s="5" t="s">
        <v>38</v>
      </c>
      <c r="J55" s="7">
        <v>79</v>
      </c>
    </row>
    <row r="56" spans="1:10" ht="15.75" x14ac:dyDescent="0.25">
      <c r="A56" s="10">
        <v>550496570960</v>
      </c>
      <c r="B56" s="5" t="s">
        <v>261</v>
      </c>
      <c r="C56" s="5" t="s">
        <v>21</v>
      </c>
      <c r="D56" s="5" t="s">
        <v>142</v>
      </c>
      <c r="E56" s="5" t="s">
        <v>56</v>
      </c>
      <c r="F56" s="5" t="s">
        <v>30</v>
      </c>
      <c r="G56" s="6">
        <v>45835</v>
      </c>
      <c r="H56" s="5" t="s">
        <v>17</v>
      </c>
      <c r="I56" s="5" t="s">
        <v>18</v>
      </c>
      <c r="J56" s="7">
        <v>94.1</v>
      </c>
    </row>
  </sheetData>
  <pageMargins left="0.25" right="0.25"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3B9DA-B1BB-4A02-BE3B-59797665BF46}">
  <dimension ref="A1:G15"/>
  <sheetViews>
    <sheetView topLeftCell="A13" workbookViewId="0">
      <selection activeCell="F2" sqref="F2"/>
    </sheetView>
  </sheetViews>
  <sheetFormatPr defaultRowHeight="15" x14ac:dyDescent="0.25"/>
  <cols>
    <col min="1" max="1" width="9.42578125" bestFit="1" customWidth="1"/>
    <col min="2" max="2" width="17.5703125" customWidth="1"/>
    <col min="3" max="3" width="14.85546875" bestFit="1" customWidth="1"/>
    <col min="4" max="4" width="29.7109375" customWidth="1"/>
    <col min="5" max="5" width="15.140625" bestFit="1" customWidth="1"/>
    <col min="6" max="6" width="18" customWidth="1"/>
    <col min="7" max="7" width="23.140625" customWidth="1"/>
  </cols>
  <sheetData>
    <row r="1" spans="1:7" ht="16.5" x14ac:dyDescent="0.25">
      <c r="A1" s="14" t="s">
        <v>267</v>
      </c>
      <c r="B1" s="14" t="s">
        <v>268</v>
      </c>
      <c r="C1" s="14" t="s">
        <v>269</v>
      </c>
      <c r="D1" s="14" t="s">
        <v>270</v>
      </c>
      <c r="E1" s="14" t="s">
        <v>271</v>
      </c>
      <c r="F1" s="14" t="s">
        <v>272</v>
      </c>
      <c r="G1" s="14" t="s">
        <v>273</v>
      </c>
    </row>
    <row r="2" spans="1:7" ht="82.5" x14ac:dyDescent="0.25">
      <c r="A2" s="14">
        <v>1</v>
      </c>
      <c r="B2" s="14" t="s">
        <v>274</v>
      </c>
      <c r="C2" s="14" t="s">
        <v>275</v>
      </c>
      <c r="D2" s="14" t="s">
        <v>276</v>
      </c>
      <c r="E2" s="14" t="s">
        <v>277</v>
      </c>
      <c r="F2" s="14" t="s">
        <v>278</v>
      </c>
      <c r="G2" s="14" t="s">
        <v>279</v>
      </c>
    </row>
    <row r="3" spans="1:7" ht="49.5" x14ac:dyDescent="0.25">
      <c r="A3" s="14">
        <v>2</v>
      </c>
      <c r="B3" s="14" t="s">
        <v>280</v>
      </c>
      <c r="C3" s="14" t="s">
        <v>281</v>
      </c>
      <c r="D3" s="14" t="s">
        <v>282</v>
      </c>
      <c r="E3" s="14" t="s">
        <v>283</v>
      </c>
      <c r="F3" s="14" t="s">
        <v>284</v>
      </c>
      <c r="G3" s="14" t="s">
        <v>285</v>
      </c>
    </row>
    <row r="4" spans="1:7" ht="82.5" x14ac:dyDescent="0.25">
      <c r="A4" s="14">
        <v>3</v>
      </c>
      <c r="B4" s="14" t="s">
        <v>280</v>
      </c>
      <c r="C4" s="14" t="s">
        <v>286</v>
      </c>
      <c r="D4" s="14" t="s">
        <v>287</v>
      </c>
      <c r="E4" s="14" t="s">
        <v>288</v>
      </c>
      <c r="F4" s="14" t="s">
        <v>289</v>
      </c>
      <c r="G4" s="14" t="s">
        <v>290</v>
      </c>
    </row>
    <row r="5" spans="1:7" ht="82.5" x14ac:dyDescent="0.25">
      <c r="A5" s="14">
        <v>4</v>
      </c>
      <c r="B5" s="14" t="s">
        <v>291</v>
      </c>
      <c r="C5" s="14" t="s">
        <v>292</v>
      </c>
      <c r="D5" s="14" t="s">
        <v>293</v>
      </c>
      <c r="E5" s="14" t="s">
        <v>294</v>
      </c>
      <c r="F5" s="14" t="s">
        <v>295</v>
      </c>
      <c r="G5" s="14" t="s">
        <v>296</v>
      </c>
    </row>
    <row r="6" spans="1:7" ht="66" x14ac:dyDescent="0.25">
      <c r="A6" s="14">
        <v>5</v>
      </c>
      <c r="B6" s="14" t="s">
        <v>297</v>
      </c>
      <c r="C6" s="14" t="s">
        <v>0</v>
      </c>
      <c r="D6" s="14" t="s">
        <v>298</v>
      </c>
      <c r="E6" s="14" t="s">
        <v>299</v>
      </c>
      <c r="F6" s="14" t="s">
        <v>300</v>
      </c>
      <c r="G6" s="14" t="s">
        <v>301</v>
      </c>
    </row>
    <row r="7" spans="1:7" ht="66" x14ac:dyDescent="0.25">
      <c r="A7" s="14">
        <v>6</v>
      </c>
      <c r="B7" s="14" t="s">
        <v>302</v>
      </c>
      <c r="C7" s="14" t="s">
        <v>6</v>
      </c>
      <c r="D7" s="14" t="s">
        <v>303</v>
      </c>
      <c r="E7" s="14" t="s">
        <v>304</v>
      </c>
      <c r="F7" s="14" t="s">
        <v>305</v>
      </c>
      <c r="G7" s="14" t="s">
        <v>306</v>
      </c>
    </row>
    <row r="8" spans="1:7" ht="82.5" x14ac:dyDescent="0.25">
      <c r="A8" s="14">
        <v>7</v>
      </c>
      <c r="B8" s="14" t="s">
        <v>307</v>
      </c>
      <c r="C8" s="14" t="s">
        <v>5</v>
      </c>
      <c r="D8" s="14" t="s">
        <v>308</v>
      </c>
      <c r="E8" s="14" t="s">
        <v>309</v>
      </c>
      <c r="F8" s="14" t="s">
        <v>310</v>
      </c>
      <c r="G8" s="14" t="s">
        <v>311</v>
      </c>
    </row>
    <row r="9" spans="1:7" ht="66" x14ac:dyDescent="0.25">
      <c r="A9" s="14">
        <v>8</v>
      </c>
      <c r="B9" s="14" t="s">
        <v>307</v>
      </c>
      <c r="C9" s="14" t="s">
        <v>7</v>
      </c>
      <c r="D9" s="14" t="s">
        <v>312</v>
      </c>
      <c r="E9" s="14" t="s">
        <v>313</v>
      </c>
      <c r="F9" s="14" t="s">
        <v>314</v>
      </c>
      <c r="G9" s="14" t="s">
        <v>315</v>
      </c>
    </row>
    <row r="10" spans="1:7" ht="49.5" x14ac:dyDescent="0.25">
      <c r="A10" s="14">
        <v>9</v>
      </c>
      <c r="B10" s="14" t="s">
        <v>307</v>
      </c>
      <c r="C10" s="14" t="s">
        <v>4</v>
      </c>
      <c r="D10" s="14" t="s">
        <v>316</v>
      </c>
      <c r="E10" s="14" t="s">
        <v>313</v>
      </c>
      <c r="F10" s="14" t="s">
        <v>317</v>
      </c>
      <c r="G10" s="14" t="s">
        <v>318</v>
      </c>
    </row>
    <row r="11" spans="1:7" ht="82.5" x14ac:dyDescent="0.25">
      <c r="A11" s="14">
        <v>10</v>
      </c>
      <c r="B11" s="14" t="s">
        <v>319</v>
      </c>
      <c r="C11" s="14" t="s">
        <v>9</v>
      </c>
      <c r="D11" s="14" t="s">
        <v>320</v>
      </c>
      <c r="E11" s="14" t="s">
        <v>321</v>
      </c>
      <c r="F11" s="14" t="s">
        <v>322</v>
      </c>
      <c r="G11" s="14" t="s">
        <v>323</v>
      </c>
    </row>
    <row r="12" spans="1:7" ht="66" x14ac:dyDescent="0.25">
      <c r="A12" s="14">
        <v>11</v>
      </c>
      <c r="B12" s="14" t="s">
        <v>324</v>
      </c>
      <c r="C12" s="14" t="s">
        <v>325</v>
      </c>
      <c r="D12" s="14" t="s">
        <v>326</v>
      </c>
      <c r="E12" s="14" t="s">
        <v>327</v>
      </c>
      <c r="F12" s="14" t="s">
        <v>328</v>
      </c>
      <c r="G12" s="14" t="s">
        <v>329</v>
      </c>
    </row>
    <row r="13" spans="1:7" ht="82.5" x14ac:dyDescent="0.25">
      <c r="A13" s="14">
        <v>12</v>
      </c>
      <c r="B13" s="14" t="s">
        <v>330</v>
      </c>
      <c r="C13" s="14" t="s">
        <v>275</v>
      </c>
      <c r="D13" s="14" t="s">
        <v>331</v>
      </c>
      <c r="E13" s="14" t="s">
        <v>332</v>
      </c>
      <c r="F13" s="14" t="s">
        <v>333</v>
      </c>
      <c r="G13" s="14" t="s">
        <v>334</v>
      </c>
    </row>
    <row r="14" spans="1:7" ht="82.5" x14ac:dyDescent="0.25">
      <c r="A14" s="14">
        <v>13</v>
      </c>
      <c r="B14" s="14" t="s">
        <v>335</v>
      </c>
      <c r="C14" s="14" t="s">
        <v>336</v>
      </c>
      <c r="D14" s="14" t="s">
        <v>337</v>
      </c>
      <c r="E14" s="14" t="s">
        <v>338</v>
      </c>
      <c r="F14" s="14" t="s">
        <v>339</v>
      </c>
      <c r="G14" s="14" t="s">
        <v>340</v>
      </c>
    </row>
    <row r="15" spans="1:7" ht="99" x14ac:dyDescent="0.25">
      <c r="A15" s="14">
        <v>14</v>
      </c>
      <c r="B15" s="14" t="s">
        <v>341</v>
      </c>
      <c r="C15" s="14" t="s">
        <v>342</v>
      </c>
      <c r="D15" s="14" t="s">
        <v>343</v>
      </c>
      <c r="E15" s="14" t="s">
        <v>344</v>
      </c>
      <c r="F15" s="14" t="s">
        <v>345</v>
      </c>
      <c r="G15" s="14" t="s">
        <v>346</v>
      </c>
    </row>
  </sheetData>
  <pageMargins left="0.25" right="0.25" top="0.75" bottom="0.75" header="0.3" footer="0.3"/>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3920-66A3-45D2-9C43-3F1DAC08DECF}">
  <dimension ref="A1:B17"/>
  <sheetViews>
    <sheetView tabSelected="1" topLeftCell="A10" workbookViewId="0">
      <selection activeCell="J17" sqref="J17"/>
    </sheetView>
  </sheetViews>
  <sheetFormatPr defaultRowHeight="15" x14ac:dyDescent="0.25"/>
  <cols>
    <col min="1" max="1" width="18.85546875" bestFit="1" customWidth="1"/>
    <col min="2" max="2" width="26.28515625" bestFit="1" customWidth="1"/>
  </cols>
  <sheetData>
    <row r="1" spans="1:2" ht="70.5" customHeight="1" x14ac:dyDescent="0.25"/>
    <row r="2" spans="1:2" ht="16.5" x14ac:dyDescent="0.3">
      <c r="A2" s="15" t="s">
        <v>4</v>
      </c>
      <c r="B2" s="16" t="s">
        <v>264</v>
      </c>
    </row>
    <row r="3" spans="1:2" ht="16.5" x14ac:dyDescent="0.3">
      <c r="A3" s="9"/>
      <c r="B3" s="9"/>
    </row>
    <row r="4" spans="1:2" ht="16.5" x14ac:dyDescent="0.3">
      <c r="A4" s="15" t="s">
        <v>262</v>
      </c>
      <c r="B4" s="18" t="s">
        <v>265</v>
      </c>
    </row>
    <row r="5" spans="1:2" ht="16.5" x14ac:dyDescent="0.3">
      <c r="A5" s="17" t="s">
        <v>17</v>
      </c>
      <c r="B5" s="18">
        <v>88.631818181818176</v>
      </c>
    </row>
    <row r="6" spans="1:2" ht="16.5" x14ac:dyDescent="0.3">
      <c r="A6" s="19" t="s">
        <v>41</v>
      </c>
      <c r="B6" s="18">
        <v>90.2</v>
      </c>
    </row>
    <row r="7" spans="1:2" ht="16.5" x14ac:dyDescent="0.3">
      <c r="A7" s="19" t="s">
        <v>12</v>
      </c>
      <c r="B7" s="18">
        <v>87</v>
      </c>
    </row>
    <row r="8" spans="1:2" ht="16.5" x14ac:dyDescent="0.3">
      <c r="A8" s="19" t="s">
        <v>21</v>
      </c>
      <c r="B8" s="18">
        <v>87.487499999999997</v>
      </c>
    </row>
    <row r="9" spans="1:2" ht="16.5" x14ac:dyDescent="0.3">
      <c r="A9" s="17" t="s">
        <v>37</v>
      </c>
      <c r="B9" s="18">
        <v>89.4375</v>
      </c>
    </row>
    <row r="10" spans="1:2" ht="16.5" x14ac:dyDescent="0.3">
      <c r="A10" s="19" t="s">
        <v>41</v>
      </c>
      <c r="B10" s="18">
        <v>88</v>
      </c>
    </row>
    <row r="11" spans="1:2" ht="16.5" x14ac:dyDescent="0.3">
      <c r="A11" s="19" t="s">
        <v>12</v>
      </c>
      <c r="B11" s="18">
        <v>93.666666666666671</v>
      </c>
    </row>
    <row r="12" spans="1:2" ht="16.5" x14ac:dyDescent="0.3">
      <c r="A12" s="19" t="s">
        <v>21</v>
      </c>
      <c r="B12" s="18">
        <v>86.428571428571431</v>
      </c>
    </row>
    <row r="13" spans="1:2" ht="16.5" x14ac:dyDescent="0.3">
      <c r="A13" s="17" t="s">
        <v>212</v>
      </c>
      <c r="B13" s="18">
        <v>91.461538461538439</v>
      </c>
    </row>
    <row r="14" spans="1:2" ht="16.5" x14ac:dyDescent="0.3">
      <c r="A14" s="19" t="s">
        <v>41</v>
      </c>
      <c r="B14" s="18">
        <v>95.05</v>
      </c>
    </row>
    <row r="15" spans="1:2" ht="16.5" x14ac:dyDescent="0.3">
      <c r="A15" s="19" t="s">
        <v>12</v>
      </c>
      <c r="B15" s="18">
        <v>95.149999999999991</v>
      </c>
    </row>
    <row r="16" spans="1:2" ht="16.5" x14ac:dyDescent="0.3">
      <c r="A16" s="19" t="s">
        <v>21</v>
      </c>
      <c r="B16" s="18">
        <v>85.640000000000015</v>
      </c>
    </row>
    <row r="17" spans="1:2" ht="16.5" x14ac:dyDescent="0.3">
      <c r="A17" s="17" t="s">
        <v>263</v>
      </c>
      <c r="B17" s="18">
        <v>89.605882352941151</v>
      </c>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2C6C-B08F-4EEE-A090-AB9E9D48984C}">
  <dimension ref="A1"/>
  <sheetViews>
    <sheetView workbookViewId="0"/>
  </sheetViews>
  <sheetFormatPr defaultRowHeight="15" x14ac:dyDescent="0.25"/>
  <sheetData/>
  <pageMargins left="0.25" right="0.2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3AF0-12EE-49F4-98FA-02597A85F6B5}">
  <dimension ref="A1:N1"/>
  <sheetViews>
    <sheetView workbookViewId="0">
      <selection activeCell="Q1" sqref="Q1"/>
    </sheetView>
  </sheetViews>
  <sheetFormatPr defaultRowHeight="15" x14ac:dyDescent="0.25"/>
  <sheetData>
    <row r="1" spans="1:14" ht="369" customHeight="1" x14ac:dyDescent="0.25">
      <c r="A1" s="13" t="s">
        <v>266</v>
      </c>
      <c r="B1" s="13"/>
      <c r="C1" s="13"/>
      <c r="D1" s="13"/>
      <c r="E1" s="13"/>
      <c r="F1" s="13"/>
      <c r="G1" s="13"/>
      <c r="H1" s="13"/>
      <c r="I1" s="13"/>
      <c r="J1" s="13"/>
      <c r="K1" s="13"/>
      <c r="L1" s="13"/>
      <c r="M1" s="13"/>
      <c r="N1" s="12"/>
    </row>
  </sheetData>
  <mergeCells count="1">
    <mergeCell ref="A1:M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D53D96-89DC-4801-ADE4-08757E8BAA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vt:lpstr>
      <vt:lpstr>MasterData</vt:lpstr>
      <vt:lpstr>LogSheet</vt:lpstr>
      <vt:lpstr>Pivot</vt:lpstr>
      <vt:lpstr>Dashboard</vt:lpstr>
      <vt:lpstr>Analysis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cp:lastPrinted>2026-10-19T01:42:24Z</cp:lastPrinted>
  <dcterms:created xsi:type="dcterms:W3CDTF">2026-06-01T02:07:00Z</dcterms:created>
  <dcterms:modified xsi:type="dcterms:W3CDTF">2026-10-19T01:46:42Z</dcterms:modified>
</cp:coreProperties>
</file>